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enel\Coding\Python\Paper\_statistics\"/>
    </mc:Choice>
  </mc:AlternateContent>
  <xr:revisionPtr revIDLastSave="0" documentId="13_ncr:1_{3F8C4C1A-2469-4BAB-A8AE-F7A753799C82}" xr6:coauthVersionLast="47" xr6:coauthVersionMax="47" xr10:uidLastSave="{00000000-0000-0000-0000-000000000000}"/>
  <bookViews>
    <workbookView xWindow="48012" yWindow="1644" windowWidth="21600" windowHeight="12456" activeTab="1" xr2:uid="{00000000-000D-0000-FFFF-FFFF00000000}"/>
  </bookViews>
  <sheets>
    <sheet name="table_3" sheetId="1" r:id="rId1"/>
    <sheet name="table_4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<sst xmlns="http://schemas.openxmlformats.org/spreadsheetml/2006/main" count="85" uniqueCount="29">
  <si>
    <t>detector</t>
  </si>
  <si>
    <t>frequency</t>
  </si>
  <si>
    <t>time_defensive</t>
  </si>
  <si>
    <t>recall</t>
  </si>
  <si>
    <t>precision</t>
  </si>
  <si>
    <t>lift</t>
  </si>
  <si>
    <t>false_alarm_days</t>
  </si>
  <si>
    <t>missed_crises</t>
  </si>
  <si>
    <t>daily</t>
  </si>
  <si>
    <t>monthly</t>
  </si>
  <si>
    <t>quarterly</t>
  </si>
  <si>
    <t>yearly</t>
  </si>
  <si>
    <t>changepoint</t>
  </si>
  <si>
    <t>hmm</t>
  </si>
  <si>
    <t>wasserstein</t>
  </si>
  <si>
    <t>mean_episode_days</t>
  </si>
  <si>
    <t>n_episodes</t>
  </si>
  <si>
    <t>median_exit_lag</t>
  </si>
  <si>
    <t>median_re_entry_lag</t>
  </si>
  <si>
    <t>missed</t>
  </si>
  <si>
    <t>C3</t>
  </si>
  <si>
    <t>C3, C4</t>
  </si>
  <si>
    <t>C4</t>
  </si>
  <si>
    <t>C1, C3, C4, C5</t>
  </si>
  <si>
    <t>late_def</t>
  </si>
  <si>
    <t>C3, C5</t>
  </si>
  <si>
    <t>C4, C6</t>
  </si>
  <si>
    <t>C6</t>
  </si>
  <si>
    <t>never_recovered_before_next_crisis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</si>
</sst>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_output/_comparison/detector_evaluation.xlsx" TargetMode="External"/><Relationship Id="rId2" Type="http://schemas.openxmlformats.org/officeDocument/2006/relationships/externalLinkPath" Target="file:///C:\Users\benel\Coding\Python\Paper\_output\_comparison\detector_evaluation.xlsx" TargetMode="External"/><Relationship Id="rId1" Type="http://schemas.openxmlformats.org/officeDocument/2006/relationships/externalLinkPath" Target="/Users/benel/Coding/Python/Paper/_output/_comparison/detector_e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_crisis"/>
      <sheetName val="full_period"/>
      <sheetName val="episodes"/>
      <sheetName val="notes"/>
    </sheetNames>
    <sheetDataSet>
      <sheetData sheetId="0">
        <row r="2">
          <cell r="F2">
            <v>154</v>
          </cell>
          <cell r="H2">
            <v>360</v>
          </cell>
        </row>
        <row r="3">
          <cell r="F3">
            <v>-147</v>
          </cell>
          <cell r="H3">
            <v>514</v>
          </cell>
        </row>
        <row r="5">
          <cell r="F5">
            <v>16</v>
          </cell>
          <cell r="H5">
            <v>452</v>
          </cell>
        </row>
        <row r="6">
          <cell r="F6">
            <v>-457</v>
          </cell>
          <cell r="H6">
            <v>-193</v>
          </cell>
        </row>
        <row r="7">
          <cell r="F7">
            <v>-34</v>
          </cell>
        </row>
        <row r="8">
          <cell r="F8">
            <v>-3</v>
          </cell>
          <cell r="H8">
            <v>18</v>
          </cell>
        </row>
        <row r="9">
          <cell r="F9">
            <v>10</v>
          </cell>
          <cell r="H9">
            <v>66</v>
          </cell>
        </row>
        <row r="10">
          <cell r="F10">
            <v>15</v>
          </cell>
          <cell r="H10">
            <v>14</v>
          </cell>
        </row>
        <row r="11">
          <cell r="F11">
            <v>5</v>
          </cell>
          <cell r="H11">
            <v>33</v>
          </cell>
        </row>
        <row r="12">
          <cell r="F12">
            <v>4</v>
          </cell>
          <cell r="H12">
            <v>30</v>
          </cell>
        </row>
        <row r="13">
          <cell r="F13">
            <v>9</v>
          </cell>
          <cell r="H13">
            <v>16</v>
          </cell>
        </row>
        <row r="14">
          <cell r="F14">
            <v>-50</v>
          </cell>
          <cell r="H14">
            <v>29</v>
          </cell>
        </row>
        <row r="15">
          <cell r="F15">
            <v>19</v>
          </cell>
          <cell r="H15">
            <v>96</v>
          </cell>
        </row>
        <row r="16">
          <cell r="F16">
            <v>19</v>
          </cell>
          <cell r="H16">
            <v>24</v>
          </cell>
        </row>
        <row r="17">
          <cell r="F17">
            <v>-7</v>
          </cell>
          <cell r="H17">
            <v>85</v>
          </cell>
        </row>
        <row r="18">
          <cell r="F18">
            <v>-23</v>
          </cell>
          <cell r="H18">
            <v>44</v>
          </cell>
        </row>
        <row r="19">
          <cell r="F19">
            <v>13</v>
          </cell>
          <cell r="H19">
            <v>29</v>
          </cell>
        </row>
        <row r="20">
          <cell r="F20">
            <v>156</v>
          </cell>
          <cell r="H20">
            <v>373</v>
          </cell>
        </row>
        <row r="21">
          <cell r="F21">
            <v>-131</v>
          </cell>
          <cell r="H21">
            <v>523</v>
          </cell>
        </row>
        <row r="24">
          <cell r="F24">
            <v>-442</v>
          </cell>
          <cell r="H24">
            <v>-174</v>
          </cell>
        </row>
        <row r="25">
          <cell r="F25">
            <v>-114</v>
          </cell>
        </row>
        <row r="26">
          <cell r="F26">
            <v>156</v>
          </cell>
          <cell r="H26">
            <v>18</v>
          </cell>
        </row>
        <row r="27">
          <cell r="F27">
            <v>39</v>
          </cell>
          <cell r="H27">
            <v>81</v>
          </cell>
        </row>
        <row r="28">
          <cell r="F28">
            <v>30</v>
          </cell>
          <cell r="H28">
            <v>46</v>
          </cell>
        </row>
        <row r="29">
          <cell r="F29">
            <v>-10</v>
          </cell>
          <cell r="H29">
            <v>49</v>
          </cell>
        </row>
        <row r="30">
          <cell r="F30">
            <v>-21</v>
          </cell>
          <cell r="H30">
            <v>77</v>
          </cell>
        </row>
        <row r="31">
          <cell r="F31">
            <v>9</v>
          </cell>
          <cell r="H31">
            <v>17</v>
          </cell>
        </row>
        <row r="32">
          <cell r="F32">
            <v>-35</v>
          </cell>
          <cell r="H32">
            <v>141</v>
          </cell>
        </row>
        <row r="33">
          <cell r="F33">
            <v>39</v>
          </cell>
          <cell r="H33">
            <v>103</v>
          </cell>
        </row>
        <row r="34">
          <cell r="F34">
            <v>30</v>
          </cell>
          <cell r="H34">
            <v>27</v>
          </cell>
        </row>
        <row r="35">
          <cell r="F35">
            <v>9</v>
          </cell>
          <cell r="H35">
            <v>93</v>
          </cell>
        </row>
        <row r="36">
          <cell r="F36">
            <v>-21</v>
          </cell>
          <cell r="H36">
            <v>77</v>
          </cell>
        </row>
        <row r="37">
          <cell r="F37">
            <v>30</v>
          </cell>
          <cell r="H37">
            <v>38</v>
          </cell>
        </row>
        <row r="38">
          <cell r="F38">
            <v>197</v>
          </cell>
          <cell r="H38">
            <v>373</v>
          </cell>
        </row>
        <row r="39">
          <cell r="F39">
            <v>-131</v>
          </cell>
          <cell r="H39">
            <v>523</v>
          </cell>
        </row>
        <row r="40">
          <cell r="F40">
            <v>-120</v>
          </cell>
          <cell r="H40">
            <v>-57</v>
          </cell>
        </row>
        <row r="42">
          <cell r="F42">
            <v>-442</v>
          </cell>
          <cell r="H42">
            <v>-132</v>
          </cell>
        </row>
        <row r="43">
          <cell r="F43">
            <v>-94</v>
          </cell>
        </row>
        <row r="44">
          <cell r="F44">
            <v>259</v>
          </cell>
          <cell r="H44">
            <v>59</v>
          </cell>
        </row>
        <row r="45">
          <cell r="F45">
            <v>59</v>
          </cell>
          <cell r="H45">
            <v>-43</v>
          </cell>
        </row>
        <row r="48">
          <cell r="F48">
            <v>63</v>
          </cell>
          <cell r="H48">
            <v>119</v>
          </cell>
        </row>
        <row r="49">
          <cell r="F49">
            <v>-30</v>
          </cell>
          <cell r="H49">
            <v>58</v>
          </cell>
        </row>
        <row r="50">
          <cell r="F50">
            <v>8</v>
          </cell>
          <cell r="H50">
            <v>183</v>
          </cell>
        </row>
        <row r="51">
          <cell r="F51">
            <v>59</v>
          </cell>
          <cell r="H51">
            <v>145</v>
          </cell>
        </row>
        <row r="54">
          <cell r="F54">
            <v>-63</v>
          </cell>
          <cell r="H54">
            <v>181</v>
          </cell>
        </row>
        <row r="55">
          <cell r="F55">
            <v>-94</v>
          </cell>
          <cell r="H55">
            <v>58</v>
          </cell>
        </row>
        <row r="56">
          <cell r="F56">
            <v>197</v>
          </cell>
          <cell r="H56">
            <v>563</v>
          </cell>
        </row>
        <row r="57">
          <cell r="F57">
            <v>59</v>
          </cell>
          <cell r="H57">
            <v>963</v>
          </cell>
        </row>
        <row r="60">
          <cell r="F60">
            <v>-251</v>
          </cell>
          <cell r="H60">
            <v>307</v>
          </cell>
        </row>
        <row r="61">
          <cell r="F61">
            <v>-30</v>
          </cell>
        </row>
        <row r="63">
          <cell r="F63">
            <v>59</v>
          </cell>
          <cell r="H63">
            <v>-43</v>
          </cell>
        </row>
        <row r="67">
          <cell r="F67">
            <v>-30</v>
          </cell>
        </row>
        <row r="68">
          <cell r="F68">
            <v>197</v>
          </cell>
          <cell r="H68">
            <v>-193</v>
          </cell>
        </row>
        <row r="69">
          <cell r="F69">
            <v>59</v>
          </cell>
          <cell r="H69">
            <v>209</v>
          </cell>
        </row>
        <row r="72">
          <cell r="F72">
            <v>1</v>
          </cell>
          <cell r="H72">
            <v>307</v>
          </cell>
        </row>
        <row r="73">
          <cell r="F73">
            <v>-30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sqref="A1:B13"/>
    </sheetView>
  </sheetViews>
  <sheetFormatPr defaultRowHeight="14.4" x14ac:dyDescent="0.3"/>
  <cols>
    <col min="1" max="1" width="11.6640625" bestFit="1" customWidth="1"/>
    <col min="2" max="2" width="9.6640625" bestFit="1" customWidth="1"/>
    <col min="3" max="3" width="14.6640625" bestFit="1" customWidth="1"/>
    <col min="4" max="4" width="18.88671875" bestFit="1" customWidth="1"/>
    <col min="5" max="5" width="18.88671875" customWidth="1"/>
    <col min="8" max="8" width="9.33203125" customWidth="1"/>
    <col min="9" max="9" width="16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12</v>
      </c>
      <c r="B2" t="s">
        <v>8</v>
      </c>
      <c r="C2" s="2">
        <v>0.48720000000000002</v>
      </c>
      <c r="D2" s="2">
        <v>343</v>
      </c>
      <c r="E2" s="2">
        <v>10</v>
      </c>
      <c r="F2" s="1">
        <v>0.67449999999999999</v>
      </c>
      <c r="G2" s="1">
        <v>0.25729999999999997</v>
      </c>
      <c r="H2" s="1">
        <v>1.38</v>
      </c>
      <c r="I2">
        <v>399</v>
      </c>
      <c r="J2">
        <v>1</v>
      </c>
    </row>
    <row r="3" spans="1:10" x14ac:dyDescent="0.3">
      <c r="A3" t="s">
        <v>13</v>
      </c>
      <c r="B3" t="s">
        <v>8</v>
      </c>
      <c r="C3" s="1">
        <v>0.2324</v>
      </c>
      <c r="D3" s="2">
        <v>10</v>
      </c>
      <c r="E3" s="2">
        <v>156</v>
      </c>
      <c r="F3" s="1">
        <v>0.57440000000000002</v>
      </c>
      <c r="G3" s="1">
        <v>0.45929999999999999</v>
      </c>
      <c r="H3" s="1">
        <v>2.46</v>
      </c>
      <c r="I3">
        <v>397</v>
      </c>
      <c r="J3">
        <v>0</v>
      </c>
    </row>
    <row r="4" spans="1:10" x14ac:dyDescent="0.3">
      <c r="A4" t="s">
        <v>14</v>
      </c>
      <c r="B4" t="s">
        <v>8</v>
      </c>
      <c r="C4" s="1">
        <v>0.4108</v>
      </c>
      <c r="D4" s="2">
        <v>26</v>
      </c>
      <c r="E4" s="2">
        <v>110</v>
      </c>
      <c r="F4" s="1">
        <v>0.75090000000000001</v>
      </c>
      <c r="G4" s="1">
        <v>0.3397</v>
      </c>
      <c r="H4" s="1">
        <v>1.82</v>
      </c>
      <c r="I4">
        <v>970</v>
      </c>
      <c r="J4">
        <v>0</v>
      </c>
    </row>
    <row r="5" spans="1:10" x14ac:dyDescent="0.3">
      <c r="A5" t="s">
        <v>12</v>
      </c>
      <c r="B5" t="s">
        <v>9</v>
      </c>
      <c r="C5" s="1">
        <v>0.48730000000000001</v>
      </c>
      <c r="D5" s="2">
        <v>381</v>
      </c>
      <c r="E5" s="2">
        <v>9</v>
      </c>
      <c r="F5" s="1">
        <v>0.68140000000000001</v>
      </c>
      <c r="G5" s="1">
        <v>0.25990000000000002</v>
      </c>
      <c r="H5" s="1">
        <v>1.39</v>
      </c>
      <c r="I5">
        <v>397</v>
      </c>
      <c r="J5">
        <v>2</v>
      </c>
    </row>
    <row r="6" spans="1:10" x14ac:dyDescent="0.3">
      <c r="A6" t="s">
        <v>13</v>
      </c>
      <c r="B6" t="s">
        <v>9</v>
      </c>
      <c r="C6" s="1">
        <v>0.22259999999999999</v>
      </c>
      <c r="D6" s="2">
        <v>49</v>
      </c>
      <c r="E6" s="2">
        <v>32</v>
      </c>
      <c r="F6" s="1">
        <v>0.47970000000000002</v>
      </c>
      <c r="G6" s="1">
        <v>0.40050000000000002</v>
      </c>
      <c r="H6" s="1">
        <v>2.15</v>
      </c>
      <c r="I6">
        <v>308</v>
      </c>
      <c r="J6">
        <v>0</v>
      </c>
    </row>
    <row r="7" spans="1:10" x14ac:dyDescent="0.3">
      <c r="A7" t="s">
        <v>14</v>
      </c>
      <c r="B7" t="s">
        <v>9</v>
      </c>
      <c r="C7" s="1">
        <v>0.39710000000000001</v>
      </c>
      <c r="D7" s="2">
        <v>68</v>
      </c>
      <c r="E7" s="2">
        <v>41</v>
      </c>
      <c r="F7" s="1">
        <v>0.7288</v>
      </c>
      <c r="G7" s="1">
        <v>0.34100000000000003</v>
      </c>
      <c r="H7" s="1">
        <v>1.83</v>
      </c>
      <c r="I7">
        <v>957</v>
      </c>
      <c r="J7">
        <v>0</v>
      </c>
    </row>
    <row r="8" spans="1:10" x14ac:dyDescent="0.3">
      <c r="A8" t="s">
        <v>12</v>
      </c>
      <c r="B8" t="s">
        <v>10</v>
      </c>
      <c r="C8" s="1">
        <v>0.4909</v>
      </c>
      <c r="D8" s="2">
        <v>384</v>
      </c>
      <c r="E8" s="2">
        <v>9</v>
      </c>
      <c r="F8" s="1">
        <v>0.68669999999999998</v>
      </c>
      <c r="G8" s="1">
        <v>0.26</v>
      </c>
      <c r="H8" s="1">
        <v>1.39</v>
      </c>
      <c r="I8">
        <v>441</v>
      </c>
      <c r="J8">
        <v>1</v>
      </c>
    </row>
    <row r="9" spans="1:10" x14ac:dyDescent="0.3">
      <c r="A9" t="s">
        <v>13</v>
      </c>
      <c r="B9" t="s">
        <v>10</v>
      </c>
      <c r="C9" s="1">
        <v>0.2147</v>
      </c>
      <c r="D9" s="2">
        <v>101</v>
      </c>
      <c r="E9" s="2">
        <v>15</v>
      </c>
      <c r="F9" s="1">
        <v>0.4224</v>
      </c>
      <c r="G9" s="1">
        <v>0.36570000000000003</v>
      </c>
      <c r="H9" s="1">
        <v>1.96</v>
      </c>
      <c r="I9">
        <v>255</v>
      </c>
      <c r="J9">
        <v>2</v>
      </c>
    </row>
    <row r="10" spans="1:10" x14ac:dyDescent="0.3">
      <c r="A10" t="s">
        <v>14</v>
      </c>
      <c r="B10" t="s">
        <v>10</v>
      </c>
      <c r="C10" s="1">
        <v>0.4289</v>
      </c>
      <c r="D10" s="2">
        <v>144</v>
      </c>
      <c r="E10" s="2">
        <v>21</v>
      </c>
      <c r="F10" s="1">
        <v>0.64780000000000004</v>
      </c>
      <c r="G10" s="1">
        <v>0.28070000000000001</v>
      </c>
      <c r="H10" s="1">
        <v>1.5</v>
      </c>
      <c r="I10">
        <v>440</v>
      </c>
      <c r="J10">
        <v>2</v>
      </c>
    </row>
    <row r="11" spans="1:10" x14ac:dyDescent="0.3">
      <c r="A11" t="s">
        <v>12</v>
      </c>
      <c r="B11" t="s">
        <v>11</v>
      </c>
      <c r="C11" s="1">
        <v>0.53500000000000003</v>
      </c>
      <c r="D11" s="2">
        <v>628</v>
      </c>
      <c r="E11" s="2">
        <v>6</v>
      </c>
      <c r="F11" s="1">
        <v>0.73939999999999995</v>
      </c>
      <c r="G11" s="1">
        <v>0.25690000000000002</v>
      </c>
      <c r="H11" s="1">
        <v>1.38</v>
      </c>
      <c r="I11">
        <v>252</v>
      </c>
      <c r="J11">
        <v>2</v>
      </c>
    </row>
    <row r="12" spans="1:10" x14ac:dyDescent="0.3">
      <c r="A12" t="s">
        <v>13</v>
      </c>
      <c r="B12" t="s">
        <v>11</v>
      </c>
      <c r="C12" s="1">
        <v>0.1779</v>
      </c>
      <c r="D12" s="2">
        <v>251</v>
      </c>
      <c r="E12" s="2">
        <v>5</v>
      </c>
      <c r="F12" s="1">
        <v>0.21920000000000001</v>
      </c>
      <c r="G12" s="1">
        <v>0.22900000000000001</v>
      </c>
      <c r="H12" s="1">
        <v>1.23</v>
      </c>
      <c r="I12">
        <v>0</v>
      </c>
      <c r="J12">
        <v>4</v>
      </c>
    </row>
    <row r="13" spans="1:10" x14ac:dyDescent="0.3">
      <c r="A13" t="s">
        <v>14</v>
      </c>
      <c r="B13" t="s">
        <v>11</v>
      </c>
      <c r="C13" s="1">
        <v>0.39219999999999999</v>
      </c>
      <c r="D13" s="2">
        <v>345</v>
      </c>
      <c r="E13" s="2">
        <v>8</v>
      </c>
      <c r="F13" s="1">
        <v>0.59119999999999995</v>
      </c>
      <c r="G13" s="1">
        <v>0.2802</v>
      </c>
      <c r="H13" s="1">
        <v>1.5</v>
      </c>
      <c r="I13">
        <v>252</v>
      </c>
      <c r="J13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DDF4-E7B5-448B-9B31-15DB94E3900C}">
  <dimension ref="A1:G13"/>
  <sheetViews>
    <sheetView tabSelected="1" workbookViewId="0">
      <selection sqref="A1:G13"/>
    </sheetView>
  </sheetViews>
  <sheetFormatPr defaultRowHeight="14.4" x14ac:dyDescent="0.3"/>
  <cols>
    <col min="1" max="1" width="11.6640625" bestFit="1" customWidth="1"/>
    <col min="2" max="2" width="9.6640625" customWidth="1"/>
    <col min="3" max="3" width="15.44140625" bestFit="1" customWidth="1"/>
    <col min="4" max="4" width="19.5546875" bestFit="1" customWidth="1"/>
  </cols>
  <sheetData>
    <row r="1" spans="1:7" x14ac:dyDescent="0.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24</v>
      </c>
      <c r="G1" t="s">
        <v>28</v>
      </c>
    </row>
    <row r="2" spans="1:7" x14ac:dyDescent="0.3">
      <c r="A2" t="s">
        <v>12</v>
      </c>
      <c r="B2" t="s">
        <v>8</v>
      </c>
      <c r="C2">
        <f>MEDIAN([1]per_crisis!F$2:F$7)</f>
        <v>-34</v>
      </c>
      <c r="D2">
        <f>MEDIAN([1]per_crisis!H$2:H$7)</f>
        <v>406</v>
      </c>
      <c r="E2" t="s">
        <v>20</v>
      </c>
      <c r="G2" t="s">
        <v>26</v>
      </c>
    </row>
    <row r="3" spans="1:7" x14ac:dyDescent="0.3">
      <c r="A3" t="s">
        <v>13</v>
      </c>
      <c r="B3" t="s">
        <v>8</v>
      </c>
      <c r="C3">
        <f>MEDIAN([1]per_crisis!F$8:F$13)</f>
        <v>7</v>
      </c>
      <c r="D3">
        <f>MEDIAN([1]per_crisis!H$8:H$13)</f>
        <v>24</v>
      </c>
    </row>
    <row r="4" spans="1:7" x14ac:dyDescent="0.3">
      <c r="A4" t="s">
        <v>14</v>
      </c>
      <c r="B4" t="s">
        <v>8</v>
      </c>
      <c r="C4">
        <f>MEDIAN([1]per_crisis!F$14:F$19)</f>
        <v>3</v>
      </c>
      <c r="D4">
        <f>MEDIAN([1]per_crisis!H$14:H$19)</f>
        <v>36.5</v>
      </c>
    </row>
    <row r="5" spans="1:7" x14ac:dyDescent="0.3">
      <c r="A5" t="s">
        <v>12</v>
      </c>
      <c r="B5" t="s">
        <v>9</v>
      </c>
      <c r="C5">
        <f>MEDIAN([1]per_crisis!F$20:F$25)</f>
        <v>-122.5</v>
      </c>
      <c r="D5">
        <f>MEDIAN([1]per_crisis!H$20:H$25)</f>
        <v>373</v>
      </c>
      <c r="E5" t="s">
        <v>21</v>
      </c>
      <c r="F5" t="s">
        <v>22</v>
      </c>
      <c r="G5" t="s">
        <v>26</v>
      </c>
    </row>
    <row r="6" spans="1:7" x14ac:dyDescent="0.3">
      <c r="A6" t="s">
        <v>13</v>
      </c>
      <c r="B6" t="s">
        <v>9</v>
      </c>
      <c r="C6">
        <f>MEDIAN([1]per_crisis!F$26:F$31)</f>
        <v>19.5</v>
      </c>
      <c r="D6">
        <f>MEDIAN([1]per_crisis!H$26:H$31)</f>
        <v>47.5</v>
      </c>
    </row>
    <row r="7" spans="1:7" x14ac:dyDescent="0.3">
      <c r="A7" t="s">
        <v>14</v>
      </c>
      <c r="B7" t="s">
        <v>9</v>
      </c>
      <c r="C7">
        <f>MEDIAN([1]per_crisis!F$32:F$37)</f>
        <v>19.5</v>
      </c>
      <c r="D7">
        <f>MEDIAN([1]per_crisis!H$32:H$37)</f>
        <v>85</v>
      </c>
    </row>
    <row r="8" spans="1:7" x14ac:dyDescent="0.3">
      <c r="A8" t="s">
        <v>12</v>
      </c>
      <c r="B8" t="s">
        <v>10</v>
      </c>
      <c r="C8">
        <f>MEDIAN([1]per_crisis!F$38:F$43)</f>
        <v>-120</v>
      </c>
      <c r="D8">
        <f>MEDIAN([1]per_crisis!H$38:H$43)</f>
        <v>158</v>
      </c>
      <c r="E8" t="s">
        <v>22</v>
      </c>
      <c r="F8" t="s">
        <v>22</v>
      </c>
      <c r="G8" t="s">
        <v>26</v>
      </c>
    </row>
    <row r="9" spans="1:7" x14ac:dyDescent="0.3">
      <c r="A9" t="s">
        <v>13</v>
      </c>
      <c r="B9" t="s">
        <v>10</v>
      </c>
      <c r="C9">
        <f>MEDIAN([1]per_crisis!F$44:F$49)</f>
        <v>61</v>
      </c>
      <c r="D9">
        <f>MEDIAN([1]per_crisis!H$44:H$49)</f>
        <v>58.5</v>
      </c>
      <c r="E9" t="s">
        <v>21</v>
      </c>
      <c r="F9" t="s">
        <v>21</v>
      </c>
    </row>
    <row r="10" spans="1:7" x14ac:dyDescent="0.3">
      <c r="A10" t="s">
        <v>14</v>
      </c>
      <c r="B10" t="s">
        <v>10</v>
      </c>
      <c r="C10">
        <f>MEDIAN([1]per_crisis!F$50:F$55)</f>
        <v>-27.5</v>
      </c>
      <c r="D10">
        <f>MEDIAN([1]per_crisis!H$50:H$55)</f>
        <v>163</v>
      </c>
      <c r="E10" t="s">
        <v>21</v>
      </c>
      <c r="F10" t="s">
        <v>21</v>
      </c>
    </row>
    <row r="11" spans="1:7" x14ac:dyDescent="0.3">
      <c r="A11" t="s">
        <v>12</v>
      </c>
      <c r="B11" t="s">
        <v>11</v>
      </c>
      <c r="C11">
        <f>MEDIAN([1]per_crisis!F$56:F$61)</f>
        <v>14.5</v>
      </c>
      <c r="D11">
        <f>MEDIAN([1]per_crisis!H$56:H$61)</f>
        <v>563</v>
      </c>
      <c r="E11" t="s">
        <v>21</v>
      </c>
      <c r="G11" t="s">
        <v>27</v>
      </c>
    </row>
    <row r="12" spans="1:7" x14ac:dyDescent="0.3">
      <c r="A12" t="s">
        <v>13</v>
      </c>
      <c r="B12" t="s">
        <v>11</v>
      </c>
      <c r="C12">
        <f>MEDIAN([1]per_crisis!F$62:F$67)</f>
        <v>14.5</v>
      </c>
      <c r="D12">
        <f>MEDIAN([1]per_crisis!H$62:H$67)</f>
        <v>-43</v>
      </c>
      <c r="E12" t="s">
        <v>23</v>
      </c>
      <c r="F12" t="s">
        <v>25</v>
      </c>
      <c r="G12" t="s">
        <v>27</v>
      </c>
    </row>
    <row r="13" spans="1:7" x14ac:dyDescent="0.3">
      <c r="A13" t="s">
        <v>14</v>
      </c>
      <c r="B13" t="s">
        <v>11</v>
      </c>
      <c r="C13">
        <f>MEDIAN([1]per_crisis!F$68:F$73)</f>
        <v>30</v>
      </c>
      <c r="D13">
        <f>MEDIAN([1]per_crisis!H$68:H$73)</f>
        <v>209</v>
      </c>
      <c r="E13" t="s">
        <v>21</v>
      </c>
      <c r="F13" t="s">
        <v>20</v>
      </c>
      <c r="G13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table_3</vt:lpstr>
      <vt:lpstr>table_4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2026-10-18T19:41:54Z</dcterms:modified>
</cp:coreProperties>
</file>