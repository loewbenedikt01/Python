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benel\Coding\Python\Paper\_statistics\baselines\"/>
    </mc:Choice>
  </mc:AlternateContent>
  <xr:revisionPtr revIDLastSave="0" documentId="13_ncr:1_{DAF9F59E-505F-493A-B218-D4A50A34CC1F}" xr6:coauthVersionLast="47" xr6:coauthVersionMax="47" xr10:uidLastSave="{00000000-0000-0000-0000-000000000000}"/>
  <bookViews>
    <workbookView xWindow="28680" yWindow="-120" windowWidth="29040" windowHeight="15720" activeTab="1" xr2:uid="{B0CDCC7D-8E54-4447-A130-B70C09A1847F}"/>
  </bookViews>
  <sheets>
    <sheet name="table_1" sheetId="1" r:id="rId1"/>
    <sheet name="table_2" sheetId="6" r:id="rId2"/>
    <sheet name="crises_vs_mcap" sheetId="3" r:id="rId3"/>
    <sheet name="crises_ra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6" l="1"/>
  <c r="Q48" i="6"/>
  <c r="Q49" i="6"/>
  <c r="Q50" i="6"/>
  <c r="Q51" i="6"/>
  <c r="Q52" i="6"/>
  <c r="Q46" i="6"/>
  <c r="Q37" i="6"/>
  <c r="Q38" i="6"/>
  <c r="Q39" i="6"/>
  <c r="Q40" i="6"/>
  <c r="Q41" i="6"/>
  <c r="Q42" i="6"/>
  <c r="Q36" i="6"/>
  <c r="Q27" i="6"/>
  <c r="Q28" i="6"/>
  <c r="Q29" i="6"/>
  <c r="Q30" i="6"/>
  <c r="Q31" i="6"/>
  <c r="Q32" i="6"/>
  <c r="Q26" i="6"/>
  <c r="Q15" i="6"/>
  <c r="Q16" i="6"/>
  <c r="Q17" i="6"/>
  <c r="Q18" i="6"/>
  <c r="Q19" i="6"/>
  <c r="Q20" i="6"/>
  <c r="Q14" i="6"/>
  <c r="J47" i="6"/>
  <c r="J48" i="6"/>
  <c r="J49" i="6"/>
  <c r="J50" i="6"/>
  <c r="J51" i="6"/>
  <c r="J52" i="6"/>
  <c r="J46" i="6"/>
  <c r="J37" i="6"/>
  <c r="J38" i="6"/>
  <c r="J39" i="6"/>
  <c r="J40" i="6"/>
  <c r="J41" i="6"/>
  <c r="J42" i="6"/>
  <c r="J36" i="6"/>
  <c r="J27" i="6"/>
  <c r="J28" i="6"/>
  <c r="J29" i="6"/>
  <c r="J30" i="6"/>
  <c r="J31" i="6"/>
  <c r="J32" i="6"/>
  <c r="J26" i="6"/>
  <c r="J15" i="6"/>
  <c r="J16" i="6"/>
  <c r="J17" i="6"/>
  <c r="J18" i="6"/>
  <c r="J19" i="6"/>
  <c r="J20" i="6"/>
  <c r="J14" i="6"/>
  <c r="M47" i="6"/>
  <c r="N47" i="6"/>
  <c r="O47" i="6"/>
  <c r="P47" i="6"/>
  <c r="R47" i="6"/>
  <c r="M48" i="6"/>
  <c r="N48" i="6"/>
  <c r="O48" i="6"/>
  <c r="P48" i="6"/>
  <c r="R48" i="6"/>
  <c r="M49" i="6"/>
  <c r="N49" i="6"/>
  <c r="O49" i="6"/>
  <c r="P49" i="6"/>
  <c r="R49" i="6"/>
  <c r="M50" i="6"/>
  <c r="N50" i="6"/>
  <c r="O50" i="6"/>
  <c r="P50" i="6"/>
  <c r="R50" i="6"/>
  <c r="M51" i="6"/>
  <c r="N51" i="6"/>
  <c r="O51" i="6"/>
  <c r="P51" i="6"/>
  <c r="R51" i="6"/>
  <c r="M52" i="6"/>
  <c r="N52" i="6"/>
  <c r="O52" i="6"/>
  <c r="P52" i="6"/>
  <c r="R52" i="6"/>
  <c r="M37" i="6"/>
  <c r="N37" i="6"/>
  <c r="O37" i="6"/>
  <c r="P37" i="6"/>
  <c r="R37" i="6"/>
  <c r="M38" i="6"/>
  <c r="N38" i="6"/>
  <c r="O38" i="6"/>
  <c r="P38" i="6"/>
  <c r="R38" i="6"/>
  <c r="M39" i="6"/>
  <c r="N39" i="6"/>
  <c r="O39" i="6"/>
  <c r="P39" i="6"/>
  <c r="R39" i="6"/>
  <c r="M40" i="6"/>
  <c r="N40" i="6"/>
  <c r="O40" i="6"/>
  <c r="P40" i="6"/>
  <c r="R40" i="6"/>
  <c r="M41" i="6"/>
  <c r="N41" i="6"/>
  <c r="O41" i="6"/>
  <c r="P41" i="6"/>
  <c r="R41" i="6"/>
  <c r="M42" i="6"/>
  <c r="N42" i="6"/>
  <c r="O42" i="6"/>
  <c r="P42" i="6"/>
  <c r="R42" i="6"/>
  <c r="M27" i="6"/>
  <c r="N27" i="6"/>
  <c r="O27" i="6"/>
  <c r="P27" i="6"/>
  <c r="R27" i="6"/>
  <c r="M28" i="6"/>
  <c r="N28" i="6"/>
  <c r="O28" i="6"/>
  <c r="P28" i="6"/>
  <c r="R28" i="6"/>
  <c r="M29" i="6"/>
  <c r="N29" i="6"/>
  <c r="O29" i="6"/>
  <c r="P29" i="6"/>
  <c r="R29" i="6"/>
  <c r="M30" i="6"/>
  <c r="N30" i="6"/>
  <c r="O30" i="6"/>
  <c r="P30" i="6"/>
  <c r="R30" i="6"/>
  <c r="M31" i="6"/>
  <c r="N31" i="6"/>
  <c r="O31" i="6"/>
  <c r="P31" i="6"/>
  <c r="R31" i="6"/>
  <c r="M32" i="6"/>
  <c r="N32" i="6"/>
  <c r="O32" i="6"/>
  <c r="P32" i="6"/>
  <c r="R32" i="6"/>
  <c r="P46" i="6"/>
  <c r="O46" i="6"/>
  <c r="N46" i="6"/>
  <c r="M46" i="6"/>
  <c r="R46" i="6"/>
  <c r="R36" i="6"/>
  <c r="P36" i="6"/>
  <c r="O36" i="6"/>
  <c r="N36" i="6"/>
  <c r="M36" i="6"/>
  <c r="R26" i="6"/>
  <c r="P26" i="6"/>
  <c r="O26" i="6"/>
  <c r="N26" i="6"/>
  <c r="M26" i="6"/>
  <c r="L47" i="6"/>
  <c r="L48" i="6"/>
  <c r="L49" i="6"/>
  <c r="L50" i="6"/>
  <c r="L51" i="6"/>
  <c r="L52" i="6"/>
  <c r="L37" i="6"/>
  <c r="L38" i="6"/>
  <c r="L39" i="6"/>
  <c r="L40" i="6"/>
  <c r="L41" i="6"/>
  <c r="L42" i="6"/>
  <c r="L27" i="6"/>
  <c r="L28" i="6"/>
  <c r="L29" i="6"/>
  <c r="L30" i="6"/>
  <c r="L31" i="6"/>
  <c r="L32" i="6"/>
  <c r="L46" i="6"/>
  <c r="L36" i="6"/>
  <c r="L26" i="6"/>
  <c r="K47" i="6"/>
  <c r="K48" i="6"/>
  <c r="K49" i="6"/>
  <c r="K50" i="6"/>
  <c r="K51" i="6"/>
  <c r="K52" i="6"/>
  <c r="K37" i="6"/>
  <c r="K38" i="6"/>
  <c r="K39" i="6"/>
  <c r="K40" i="6"/>
  <c r="K41" i="6"/>
  <c r="K42" i="6"/>
  <c r="K27" i="6"/>
  <c r="K28" i="6"/>
  <c r="K29" i="6"/>
  <c r="K30" i="6"/>
  <c r="K31" i="6"/>
  <c r="K32" i="6"/>
  <c r="K46" i="6"/>
  <c r="K36" i="6"/>
  <c r="K26" i="6"/>
  <c r="I47" i="6"/>
  <c r="I48" i="6"/>
  <c r="I49" i="6"/>
  <c r="I50" i="6"/>
  <c r="I51" i="6"/>
  <c r="I52" i="6"/>
  <c r="I46" i="6"/>
  <c r="I37" i="6"/>
  <c r="I38" i="6"/>
  <c r="I39" i="6"/>
  <c r="I40" i="6"/>
  <c r="I41" i="6"/>
  <c r="I42" i="6"/>
  <c r="I36" i="6"/>
  <c r="I27" i="6"/>
  <c r="I28" i="6"/>
  <c r="I29" i="6"/>
  <c r="I30" i="6"/>
  <c r="I31" i="6"/>
  <c r="I32" i="6"/>
  <c r="I26" i="6"/>
  <c r="R15" i="6"/>
  <c r="R16" i="6"/>
  <c r="R17" i="6"/>
  <c r="R18" i="6"/>
  <c r="R19" i="6"/>
  <c r="R20" i="6"/>
  <c r="R14" i="6"/>
  <c r="P15" i="6"/>
  <c r="P16" i="6"/>
  <c r="P17" i="6"/>
  <c r="P18" i="6"/>
  <c r="P19" i="6"/>
  <c r="P20" i="6"/>
  <c r="P14" i="6"/>
  <c r="O15" i="6"/>
  <c r="O16" i="6"/>
  <c r="O17" i="6"/>
  <c r="O18" i="6"/>
  <c r="O19" i="6"/>
  <c r="O20" i="6"/>
  <c r="O14" i="6"/>
  <c r="N15" i="6"/>
  <c r="N16" i="6"/>
  <c r="N17" i="6"/>
  <c r="N18" i="6"/>
  <c r="N19" i="6"/>
  <c r="N20" i="6"/>
  <c r="N14" i="6"/>
  <c r="M15" i="6"/>
  <c r="M16" i="6"/>
  <c r="M17" i="6"/>
  <c r="M18" i="6"/>
  <c r="M19" i="6"/>
  <c r="M20" i="6"/>
  <c r="M14" i="6"/>
  <c r="L15" i="6"/>
  <c r="L16" i="6"/>
  <c r="L17" i="6"/>
  <c r="L18" i="6"/>
  <c r="L19" i="6"/>
  <c r="L20" i="6"/>
  <c r="L14" i="6"/>
  <c r="K15" i="6"/>
  <c r="K16" i="6"/>
  <c r="K17" i="6"/>
  <c r="K18" i="6"/>
  <c r="K19" i="6"/>
  <c r="K20" i="6"/>
  <c r="K14" i="6"/>
  <c r="I15" i="6"/>
  <c r="I16" i="6"/>
  <c r="I17" i="6"/>
  <c r="I18" i="6"/>
  <c r="I19" i="6"/>
  <c r="I20" i="6"/>
  <c r="I14" i="6"/>
  <c r="H47" i="6"/>
  <c r="H48" i="6"/>
  <c r="H49" i="6"/>
  <c r="H50" i="6"/>
  <c r="H51" i="6"/>
  <c r="H52" i="6"/>
  <c r="H46" i="6"/>
  <c r="H37" i="6"/>
  <c r="H38" i="6"/>
  <c r="H39" i="6"/>
  <c r="H40" i="6"/>
  <c r="H41" i="6"/>
  <c r="H42" i="6"/>
  <c r="H36" i="6"/>
  <c r="H27" i="6"/>
  <c r="H28" i="6"/>
  <c r="H29" i="6"/>
  <c r="H30" i="6"/>
  <c r="H31" i="6"/>
  <c r="H32" i="6"/>
  <c r="H26" i="6"/>
  <c r="H15" i="6"/>
  <c r="H16" i="6"/>
  <c r="H17" i="6"/>
  <c r="H18" i="6"/>
  <c r="H19" i="6"/>
  <c r="H20" i="6"/>
  <c r="H14" i="6"/>
  <c r="G47" i="6"/>
  <c r="G48" i="6"/>
  <c r="G49" i="6"/>
  <c r="G50" i="6"/>
  <c r="G51" i="6"/>
  <c r="G52" i="6"/>
  <c r="G46" i="6"/>
  <c r="G37" i="6"/>
  <c r="G38" i="6"/>
  <c r="G39" i="6"/>
  <c r="G40" i="6"/>
  <c r="G41" i="6"/>
  <c r="G42" i="6"/>
  <c r="G36" i="6"/>
  <c r="G27" i="6"/>
  <c r="G28" i="6"/>
  <c r="G29" i="6"/>
  <c r="G30" i="6"/>
  <c r="G31" i="6"/>
  <c r="G32" i="6"/>
  <c r="G26" i="6"/>
  <c r="G15" i="6"/>
  <c r="G16" i="6"/>
  <c r="G17" i="6"/>
  <c r="G18" i="6"/>
  <c r="G19" i="6"/>
  <c r="G20" i="6"/>
  <c r="G14" i="6"/>
</calcChain>
</file>

<file path=xl/sharedStrings.xml><?xml version="1.0" encoding="utf-8"?>
<sst xmlns="http://schemas.openxmlformats.org/spreadsheetml/2006/main" count="642" uniqueCount="212">
  <si>
    <t>hrp</t>
  </si>
  <si>
    <t>hrp_t_10_lw_ward</t>
  </si>
  <si>
    <t>monthly</t>
  </si>
  <si>
    <t>baseline</t>
  </si>
  <si>
    <t>none</t>
  </si>
  <si>
    <t>2/6</t>
  </si>
  <si>
    <t>5/6</t>
  </si>
  <si>
    <t>4/6</t>
  </si>
  <si>
    <t>market_cap</t>
  </si>
  <si>
    <t>mcap_t_10</t>
  </si>
  <si>
    <t>benchmark</t>
  </si>
  <si>
    <t>equal_weight</t>
  </si>
  <si>
    <t>equal_t_10</t>
  </si>
  <si>
    <t>3/6</t>
  </si>
  <si>
    <t>mvo</t>
  </si>
  <si>
    <t>mvo_t_10_lw</t>
  </si>
  <si>
    <t>2/5</t>
  </si>
  <si>
    <t>lstm</t>
  </si>
  <si>
    <t>lstm_t_10_holdout_rank</t>
  </si>
  <si>
    <t>rf</t>
  </si>
  <si>
    <t>rf_t_10_holdout</t>
  </si>
  <si>
    <t>xgb</t>
  </si>
  <si>
    <t>xgb_t_10_holdout</t>
  </si>
  <si>
    <t>model</t>
  </si>
  <si>
    <t>run</t>
  </si>
  <si>
    <t>frequency</t>
  </si>
  <si>
    <t>role</t>
  </si>
  <si>
    <t>detector</t>
  </si>
  <si>
    <t>series</t>
  </si>
  <si>
    <t>crisis_target</t>
  </si>
  <si>
    <t>base_run</t>
  </si>
  <si>
    <t>fallback_run</t>
  </si>
  <si>
    <t>full_cum_return</t>
  </si>
  <si>
    <t>full_cagr</t>
  </si>
  <si>
    <t>full_ann_vol</t>
  </si>
  <si>
    <t>full_sharpe</t>
  </si>
  <si>
    <t>full_sortino</t>
  </si>
  <si>
    <t>full_calmar</t>
  </si>
  <si>
    <t>full_max_dd</t>
  </si>
  <si>
    <t>full_ulcer</t>
  </si>
  <si>
    <t>full_turnover_pa</t>
  </si>
  <si>
    <t>ret_outside_crises_ann</t>
  </si>
  <si>
    <t>sharpe_outside_crises</t>
  </si>
  <si>
    <t>sharpe_inside_crises</t>
  </si>
  <si>
    <t>fix_hit_count_full</t>
  </si>
  <si>
    <t>fix_hit_count_ptt</t>
  </si>
  <si>
    <t>fix_hit_count_ttp</t>
  </si>
  <si>
    <t>flex_hit_count_full</t>
  </si>
  <si>
    <t>flex_hit_count_ptt</t>
  </si>
  <si>
    <t>flex_hit_count_ttp</t>
  </si>
  <si>
    <t>C1_ret_full_fix</t>
  </si>
  <si>
    <t>C2_ret_full_fix</t>
  </si>
  <si>
    <t>C3_ret_full_fix</t>
  </si>
  <si>
    <t>C4_ret_full_fix</t>
  </si>
  <si>
    <t>C5_ret_full_fix</t>
  </si>
  <si>
    <t>C6_ret_full_fix</t>
  </si>
  <si>
    <t>C1_dd_full_fix</t>
  </si>
  <si>
    <t>C2_dd_full_fix</t>
  </si>
  <si>
    <t>C3_dd_full_fix</t>
  </si>
  <si>
    <t>C4_dd_full_fix</t>
  </si>
  <si>
    <t>C5_dd_full_fix</t>
  </si>
  <si>
    <t>C6_dd_full_fix</t>
  </si>
  <si>
    <t>C1_rec_full_fix</t>
  </si>
  <si>
    <t>C2_rec_full_fix</t>
  </si>
  <si>
    <t>C3_rec_full_fix</t>
  </si>
  <si>
    <t>C4_rec_full_fix</t>
  </si>
  <si>
    <t>C5_rec_full_fix</t>
  </si>
  <si>
    <t>C6_rec_full_fix</t>
  </si>
  <si>
    <t>C1_dd_full_flex</t>
  </si>
  <si>
    <t>C2_dd_full_flex</t>
  </si>
  <si>
    <t>C3_dd_full_flex</t>
  </si>
  <si>
    <t>C4_dd_full_flex</t>
  </si>
  <si>
    <t>C5_dd_full_flex</t>
  </si>
  <si>
    <t>C6_dd_full_flex</t>
  </si>
  <si>
    <t>C1_days_full_flex</t>
  </si>
  <si>
    <t>C2_days_full_flex</t>
  </si>
  <si>
    <t>C3_days_full_flex</t>
  </si>
  <si>
    <t>C4_days_full_flex</t>
  </si>
  <si>
    <t>C5_days_full_flex</t>
  </si>
  <si>
    <t>C6_days_full_flex</t>
  </si>
  <si>
    <t>C1_rec_full_flex</t>
  </si>
  <si>
    <t>C2_rec_full_flex</t>
  </si>
  <si>
    <t>C3_rec_full_flex</t>
  </si>
  <si>
    <t>C4_rec_full_flex</t>
  </si>
  <si>
    <t>C5_rec_full_flex</t>
  </si>
  <si>
    <t>C6_rec_full_flex</t>
  </si>
  <si>
    <t>C1_ulcer_flex</t>
  </si>
  <si>
    <t>C2_ulcer_flex</t>
  </si>
  <si>
    <t>C3_ulcer_flex</t>
  </si>
  <si>
    <t>C4_ulcer_flex</t>
  </si>
  <si>
    <t>C5_ulcer_flex</t>
  </si>
  <si>
    <t>C6_ulcer_flex</t>
  </si>
  <si>
    <t>C1_nodd_flex</t>
  </si>
  <si>
    <t>C2_nodd_flex</t>
  </si>
  <si>
    <t>C3_nodd_flex</t>
  </si>
  <si>
    <t>C4_nodd_flex</t>
  </si>
  <si>
    <t>C5_nodd_flex</t>
  </si>
  <si>
    <t>C6_nodd_flex</t>
  </si>
  <si>
    <t>C1_ret_ptt_fix</t>
  </si>
  <si>
    <t>C2_ret_ptt_fix</t>
  </si>
  <si>
    <t>C3_ret_ptt_fix</t>
  </si>
  <si>
    <t>C4_ret_ptt_fix</t>
  </si>
  <si>
    <t>C5_ret_ptt_fix</t>
  </si>
  <si>
    <t>C6_ret_ptt_fix</t>
  </si>
  <si>
    <t>C1_dd_ptt_fix</t>
  </si>
  <si>
    <t>C2_dd_ptt_fix</t>
  </si>
  <si>
    <t>C3_dd_ptt_fix</t>
  </si>
  <si>
    <t>C4_dd_ptt_fix</t>
  </si>
  <si>
    <t>C5_dd_ptt_fix</t>
  </si>
  <si>
    <t>C6_dd_ptt_fix</t>
  </si>
  <si>
    <t>C1_days_ptt_flex</t>
  </si>
  <si>
    <t>C2_days_ptt_flex</t>
  </si>
  <si>
    <t>C3_days_ptt_flex</t>
  </si>
  <si>
    <t>C4_days_ptt_flex</t>
  </si>
  <si>
    <t>C5_days_ptt_flex</t>
  </si>
  <si>
    <t>C6_days_ptt_flex</t>
  </si>
  <si>
    <t>C1_ret_ttp_fix</t>
  </si>
  <si>
    <t>C2_ret_ttp_fix</t>
  </si>
  <si>
    <t>C3_ret_ttp_fix</t>
  </si>
  <si>
    <t>C4_ret_ttp_fix</t>
  </si>
  <si>
    <t>C5_ret_ttp_fix</t>
  </si>
  <si>
    <t>C6_ret_ttp_fix</t>
  </si>
  <si>
    <t>C1_dd_ttp_fix</t>
  </si>
  <si>
    <t>C2_dd_ttp_fix</t>
  </si>
  <si>
    <t>C3_dd_ttp_fix</t>
  </si>
  <si>
    <t>C4_dd_ttp_fix</t>
  </si>
  <si>
    <t>C5_dd_ttp_fix</t>
  </si>
  <si>
    <t>C6_dd_ttp_fix</t>
  </si>
  <si>
    <t>C1_days_ttp_flex</t>
  </si>
  <si>
    <t>C2_days_ttp_flex</t>
  </si>
  <si>
    <t>C3_days_ttp_flex</t>
  </si>
  <si>
    <t>C4_days_ttp_flex</t>
  </si>
  <si>
    <t>C5_days_ttp_flex</t>
  </si>
  <si>
    <t>C6_days_ttp_flex</t>
  </si>
  <si>
    <t>C1_ret_to_even_ttp_flex</t>
  </si>
  <si>
    <t>C2_ret_to_even_ttp_flex</t>
  </si>
  <si>
    <t>C3_ret_to_even_ttp_flex</t>
  </si>
  <si>
    <t>C4_ret_to_even_ttp_flex</t>
  </si>
  <si>
    <t>C5_ret_to_even_ttp_flex</t>
  </si>
  <si>
    <t>C6_ret_to_even_ttp_flex</t>
  </si>
  <si>
    <t>C1_cens_vs_mcap</t>
  </si>
  <si>
    <t>C2_cens_vs_mcap</t>
  </si>
  <si>
    <t>C3_cens_vs_mcap</t>
  </si>
  <si>
    <t>C4_cens_vs_mcap</t>
  </si>
  <si>
    <t>C5_cens_vs_mcap</t>
  </si>
  <si>
    <t>C6_cens_vs_mcap</t>
  </si>
  <si>
    <t>avg_crisis_exc_ret_full_fix</t>
  </si>
  <si>
    <t>avg_crisis_exc_dd_full_fix</t>
  </si>
  <si>
    <t>avg_crisis_exc_dd_full_flex</t>
  </si>
  <si>
    <t>avg_crisis_exc_days_full_flex</t>
  </si>
  <si>
    <t>excluding c1, as mcap did not recover</t>
  </si>
  <si>
    <t>avg_crisis_exc_ulcer_full_flex</t>
  </si>
  <si>
    <t>avg_crisis_exc_ret_ptt_fix</t>
  </si>
  <si>
    <t>avg_crisis_exc_dd_ptt_fix</t>
  </si>
  <si>
    <t>avg_crisis_exc_days_ptt_flex</t>
  </si>
  <si>
    <t>avg_crisis_exc_ret_ttp_fix</t>
  </si>
  <si>
    <t>avg_crisis_exc_dd_ttp_fix</t>
  </si>
  <si>
    <t>avg_exc_crisis_ret_to_even_ttp_flex</t>
  </si>
  <si>
    <t>avg_crisis_exc_days_ttp_flex</t>
  </si>
  <si>
    <t>Equal Weighted Crises</t>
  </si>
  <si>
    <t>Baselines only</t>
  </si>
  <si>
    <t>Sensitivity Analyses</t>
  </si>
  <si>
    <t>Drawdown Weighted Crises</t>
  </si>
  <si>
    <t>C1</t>
  </si>
  <si>
    <t>C2</t>
  </si>
  <si>
    <t>C3</t>
  </si>
  <si>
    <t>C4</t>
  </si>
  <si>
    <t>C5</t>
  </si>
  <si>
    <t>C6</t>
  </si>
  <si>
    <t>Crises</t>
  </si>
  <si>
    <t>Equal_Weighted</t>
  </si>
  <si>
    <t>Drawdown_Weighted</t>
  </si>
  <si>
    <t>Duration_Weighted</t>
  </si>
  <si>
    <t>VIX_Weighted</t>
  </si>
  <si>
    <t>Duration Weighted Crises</t>
  </si>
  <si>
    <t>VIX Weighted Crises</t>
  </si>
  <si>
    <t>dd_crisis_exc_ret_full_fix</t>
  </si>
  <si>
    <t>dur_crisis_exc_ret_full_fix</t>
  </si>
  <si>
    <t>vix_crisis_exc_ret_full_fix</t>
  </si>
  <si>
    <t>dd_crisis_exc_dd_full_fix</t>
  </si>
  <si>
    <t>dur_crisis_exc_dd_full_fix</t>
  </si>
  <si>
    <t>vix_crisis_exc_dd_full_fix</t>
  </si>
  <si>
    <t>dd_crisis_exc_days_full_flex</t>
  </si>
  <si>
    <t>dur_crisis_exc_days_full_flex</t>
  </si>
  <si>
    <t>vix_crisis_exc_days_full_flex</t>
  </si>
  <si>
    <t>dd_crisis_exc_ulcer_full_flex</t>
  </si>
  <si>
    <t>dur_crisis_exc_ulcer_full_flex</t>
  </si>
  <si>
    <t>vix_crisis_exc_ulcer_full_flex</t>
  </si>
  <si>
    <t>dd_crisis_exc_ret_ptt_fix</t>
  </si>
  <si>
    <t>dur_crisis_exc_ret_ptt_fix</t>
  </si>
  <si>
    <t>vix_crisis_exc_ret_ptt_fix</t>
  </si>
  <si>
    <t>dd_crisis_exc_dd_ptt_fix</t>
  </si>
  <si>
    <t>dd_crisis_exc_days_ptt_flex</t>
  </si>
  <si>
    <t>dd_crisis_exc_ret_ttp_fix</t>
  </si>
  <si>
    <t>dd_crisis_exc_dd_ttp_fix</t>
  </si>
  <si>
    <t>dd_crisis_exc_days_ttp_flex</t>
  </si>
  <si>
    <t>dd_exc_crisis_ret_to_even_ttp_flex</t>
  </si>
  <si>
    <t>dur_crisis_exc_dd_ptt_fix</t>
  </si>
  <si>
    <t>dur_crisis_exc_days_ptt_flex</t>
  </si>
  <si>
    <t>dur_crisis_exc_ret_ttp_fix</t>
  </si>
  <si>
    <t>dur_crisis_exc_dd_ttp_fix</t>
  </si>
  <si>
    <t>dur_crisis_exc_days_ttp_flex</t>
  </si>
  <si>
    <t>vix_crisis_exc_dd_ptt_fix</t>
  </si>
  <si>
    <t>vix_crisis_exc_days_ptt_flex</t>
  </si>
  <si>
    <t>vix_crisis_exc_ret_ttp_fix</t>
  </si>
  <si>
    <t>vix_crisis_exc_dd_ttp_fix</t>
  </si>
  <si>
    <t>vix_crisis_exc_days_ttp_flex</t>
  </si>
  <si>
    <t>vix_exc_crisis_ret_to_even_ttp_flex</t>
  </si>
  <si>
    <t>dur_exc_crisis_ret_to_even_ttp_flex</t>
  </si>
  <si>
    <t>dd_crisis_exc_dd_full_flex</t>
  </si>
  <si>
    <t>dur_crisis_exc_dd_full_flex</t>
  </si>
  <si>
    <t>vix_crisis_exc_dd_full_flex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</si>
</sst>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rgb="FF808080"/>
      </top>
      <bottom style="thin">
        <color theme="4" tint="0.39997558519241921"/>
      </bottom>
      <diagonal/>
    </border>
    <border>
      <left/>
      <right/>
      <top style="thin">
        <color rgb="FF808080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10" fontId="0" fillId="2" borderId="0" xfId="0" applyNumberFormat="1" applyFill="1"/>
    <xf numFmtId="164" fontId="0" fillId="2" borderId="0" xfId="0" applyNumberFormat="1" applyFill="1"/>
    <xf numFmtId="10" fontId="0" fillId="3" borderId="0" xfId="0" applyNumberFormat="1" applyFill="1"/>
    <xf numFmtId="1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10" fontId="0" fillId="2" borderId="1" xfId="0" applyNumberFormat="1" applyFill="1" applyBorder="1"/>
    <xf numFmtId="164" fontId="0" fillId="2" borderId="1" xfId="0" applyNumberFormat="1" applyFill="1" applyBorder="1"/>
    <xf numFmtId="10" fontId="0" fillId="3" borderId="1" xfId="0" applyNumberFormat="1" applyFill="1" applyBorder="1"/>
    <xf numFmtId="1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2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0" fillId="2" borderId="0" xfId="0" applyFill="1"/>
    <xf numFmtId="1" fontId="0" fillId="5" borderId="0" xfId="0" applyNumberFormat="1" applyFill="1"/>
    <xf numFmtId="10" fontId="0" fillId="6" borderId="0" xfId="0" applyNumberFormat="1" applyFill="1"/>
    <xf numFmtId="1" fontId="0" fillId="6" borderId="0" xfId="0" applyNumberFormat="1" applyFill="1"/>
    <xf numFmtId="10" fontId="0" fillId="7" borderId="0" xfId="0" applyNumberFormat="1" applyFill="1"/>
    <xf numFmtId="1" fontId="0" fillId="7" borderId="0" xfId="0" applyNumberFormat="1" applyFill="1"/>
    <xf numFmtId="0" fontId="0" fillId="2" borderId="1" xfId="0" applyFill="1" applyBorder="1"/>
    <xf numFmtId="10" fontId="0" fillId="6" borderId="1" xfId="0" applyNumberFormat="1" applyFill="1" applyBorder="1"/>
    <xf numFmtId="1" fontId="0" fillId="6" borderId="1" xfId="0" applyNumberFormat="1" applyFill="1" applyBorder="1"/>
    <xf numFmtId="10" fontId="0" fillId="7" borderId="1" xfId="0" applyNumberFormat="1" applyFill="1" applyBorder="1"/>
    <xf numFmtId="1" fontId="0" fillId="7" borderId="1" xfId="0" applyNumberFormat="1" applyFill="1" applyBorder="1"/>
    <xf numFmtId="1" fontId="0" fillId="5" borderId="1" xfId="0" applyNumberFormat="1" applyFill="1" applyBorder="1"/>
    <xf numFmtId="0" fontId="3" fillId="6" borderId="2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9" borderId="5" xfId="0" applyFill="1" applyBorder="1"/>
    <xf numFmtId="0" fontId="0" fillId="9" borderId="6" xfId="0" applyFill="1" applyBorder="1"/>
    <xf numFmtId="0" fontId="3" fillId="4" borderId="3" xfId="0" applyFont="1" applyFill="1" applyBorder="1" applyAlignment="1">
      <alignment horizontal="center" vertical="top"/>
    </xf>
    <xf numFmtId="0" fontId="4" fillId="8" borderId="2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9" borderId="7" xfId="0" applyFill="1" applyBorder="1"/>
    <xf numFmtId="0" fontId="0" fillId="9" borderId="8" xfId="0" applyFill="1" applyBorder="1"/>
    <xf numFmtId="0" fontId="4" fillId="8" borderId="9" xfId="0" applyFont="1" applyFill="1" applyBorder="1" applyAlignment="1">
      <alignment horizontal="center" vertical="top"/>
    </xf>
    <xf numFmtId="10" fontId="0" fillId="0" borderId="0" xfId="1" applyNumberFormat="1" applyFont="1"/>
    <xf numFmtId="0" fontId="2" fillId="0" borderId="0" xfId="0" applyFont="1"/>
    <xf numFmtId="10" fontId="0" fillId="0" borderId="0" xfId="0" applyNumberFormat="1"/>
    <xf numFmtId="1" fontId="0" fillId="0" borderId="0" xfId="0" applyNumberFormat="1"/>
    <xf numFmtId="2" fontId="0" fillId="0" borderId="0" xfId="1" applyNumberFormat="1" applyFont="1"/>
    <xf numFmtId="1" fontId="0" fillId="0" borderId="0" xfId="1" applyNumberFormat="1" applyFont="1"/>
    <xf numFmtId="0" fontId="2" fillId="10" borderId="2" xfId="0" applyFont="1" applyFill="1" applyBorder="1"/>
    <xf numFmtId="0" fontId="2" fillId="11" borderId="2" xfId="0" applyFont="1" applyFill="1" applyBorder="1"/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12" borderId="0" xfId="0" applyFill="1"/>
  </cellXfs>
  <cellStyles count="2">
    <cellStyle name="Normal" xfId="0" builtinId="0"/>
    <cellStyle name="Per cent" xfId="1" builtinId="5"/>
  </cellStyles>
  <dxfs count="127"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DEDED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4DFEC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" formatCode="0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E2EFDA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border diagonalUp="0" diagonalDown="0">
        <left/>
        <right/>
        <top style="thin">
          <color rgb="FF808080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numFmt numFmtId="164" formatCode="0.000"/>
      <fill>
        <patternFill patternType="solid">
          <fgColor indexed="64"/>
          <bgColor rgb="FFDDEBF7"/>
        </patternFill>
      </fill>
    </dxf>
    <dxf>
      <numFmt numFmtId="164" formatCode="0.000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numFmt numFmtId="164" formatCode="0.000"/>
      <fill>
        <patternFill patternType="solid">
          <fgColor indexed="64"/>
          <bgColor rgb="FFDDEBF7"/>
        </patternFill>
      </fill>
    </dxf>
    <dxf>
      <numFmt numFmtId="164" formatCode="0.000"/>
      <fill>
        <patternFill patternType="solid">
          <fgColor indexed="64"/>
          <bgColor rgb="FFDDEBF7"/>
        </patternFill>
      </fill>
    </dxf>
    <dxf>
      <numFmt numFmtId="164" formatCode="0.000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numFmt numFmtId="14" formatCode="0.00%"/>
      <fill>
        <patternFill patternType="solid">
          <fgColor indexed="64"/>
          <bgColor rgb="FFDDEBF7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rgb="FFFFF2CC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2CC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10322-2B29-421F-B682-2C9EF37F16B1}" name="Table2" displayName="Table2" ref="A1:X8" totalsRowShown="0" headerRowDxfId="126" dataDxfId="124" headerRowBorderDxfId="125" tableBorderDxfId="123">
  <autoFilter ref="A1:X8" xr:uid="{72710322-2B29-421F-B682-2C9EF37F16B1}"/>
  <tableColumns count="24">
    <tableColumn id="1" xr3:uid="{A46C3251-E5BB-489B-89DA-BE1E07FF63B3}" name="model"/>
    <tableColumn id="2" xr3:uid="{A54BEEC7-5A2E-4BDC-8EBD-9AA8127F701E}" name="run"/>
    <tableColumn id="3" xr3:uid="{A5AAC8F4-97FA-4E87-B783-100503703A24}" name="frequency"/>
    <tableColumn id="4" xr3:uid="{F6C45E6C-F150-4BA8-A01E-B06DB01905CA}" name="role"/>
    <tableColumn id="5" xr3:uid="{869990E4-767F-4CEE-B713-1D3EDF1E6BA0}" name="detector"/>
    <tableColumn id="8" xr3:uid="{F7589F13-3854-47F7-A25D-165AB1B89AD0}" name="base_run"/>
    <tableColumn id="10" xr3:uid="{B037FC52-AD34-4740-99C7-E1492824C3D6}" name="full_cum_return" dataDxfId="122"/>
    <tableColumn id="11" xr3:uid="{FF230FA4-3751-4FE6-8704-51E4DF698A49}" name="full_cagr" dataDxfId="121"/>
    <tableColumn id="12" xr3:uid="{C2BA2444-E448-4C68-8FB4-B5505628C674}" name="full_ann_vol" dataDxfId="120"/>
    <tableColumn id="13" xr3:uid="{0C827673-F756-4B72-9060-7E69CC62A589}" name="full_sharpe" dataDxfId="119"/>
    <tableColumn id="14" xr3:uid="{047FDFD2-5896-4551-8E34-CFEA78334870}" name="full_sortino" dataDxfId="118"/>
    <tableColumn id="15" xr3:uid="{C2261618-EA2F-497B-A2B1-79E7F0B69ABC}" name="full_calmar" dataDxfId="117"/>
    <tableColumn id="16" xr3:uid="{6C3C581E-57A0-4E03-A055-05AF6EB42C5A}" name="full_max_dd" dataDxfId="116"/>
    <tableColumn id="17" xr3:uid="{25471F10-D389-421D-9AE8-A1C9450DD42C}" name="full_ulcer" dataDxfId="115"/>
    <tableColumn id="18" xr3:uid="{3F0634A8-BEFE-43A1-A5CD-A4719AE3899A}" name="full_turnover_pa" dataDxfId="114"/>
    <tableColumn id="19" xr3:uid="{B9D92813-033C-475C-BACC-0DAC70E52E31}" name="ret_outside_crises_ann" dataDxfId="113"/>
    <tableColumn id="20" xr3:uid="{2F063AD3-1753-40CE-8A32-C473CFC4D1E9}" name="sharpe_outside_crises" dataDxfId="112"/>
    <tableColumn id="21" xr3:uid="{B017B14B-1D3F-4184-B71B-167E683637E0}" name="sharpe_inside_crises" dataDxfId="111"/>
    <tableColumn id="29" xr3:uid="{B9ABC6E7-8A2F-42F5-92F0-8E7F91E2DB05}" name="fix_hit_count_full" dataDxfId="110"/>
    <tableColumn id="30" xr3:uid="{CD802DD5-6E31-48F7-997C-06A26859C68A}" name="fix_hit_count_ptt" dataDxfId="109"/>
    <tableColumn id="31" xr3:uid="{954CC678-020A-4CD5-B732-50B7D3204F20}" name="fix_hit_count_ttp" dataDxfId="108"/>
    <tableColumn id="32" xr3:uid="{A45332DE-A539-483C-BE1B-D97B169E7AFC}" name="flex_hit_count_full" dataDxfId="107"/>
    <tableColumn id="33" xr3:uid="{BD4F0E9A-FFE3-4DC6-9DA3-B222AB8DF58D}" name="flex_hit_count_ptt" dataDxfId="106"/>
    <tableColumn id="34" xr3:uid="{BC186E60-AD2E-44DC-B02A-FFD63DD56258}" name="flex_hit_count_ttp" dataDxfId="1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BA9431-D0EF-4D5D-A6FF-467950C24555}" name="Table1" displayName="Table1" ref="A1:DA8" totalsRowShown="0">
  <autoFilter ref="A1:DA8" xr:uid="{AEBA9431-D0EF-4D5D-A6FF-467950C24555}"/>
  <tableColumns count="105">
    <tableColumn id="1" xr3:uid="{F461364B-CD71-41BC-BB8C-E1ACE8F28818}" name="model" dataDxfId="104"/>
    <tableColumn id="2" xr3:uid="{E8A5C2CD-1440-4F8C-AE62-A067E75FB60B}" name="run" dataDxfId="103"/>
    <tableColumn id="3" xr3:uid="{60E24A6C-9F60-4A33-9620-B57B402DA009}" name="frequency" dataDxfId="102"/>
    <tableColumn id="4" xr3:uid="{5984F856-2692-452A-AA80-E9444B83082B}" name="role" dataDxfId="101"/>
    <tableColumn id="5" xr3:uid="{31FB3C38-6D58-47C2-B3B9-D18FA9222F47}" name="detector" dataDxfId="100"/>
    <tableColumn id="6" xr3:uid="{710CDBBA-6184-4BD3-A094-E3DEEEB06F47}" name="series" dataDxfId="99"/>
    <tableColumn id="7" xr3:uid="{0B59F50A-A6A7-4424-A11C-A129F3E29FD3}" name="crisis_target" dataDxfId="98"/>
    <tableColumn id="8" xr3:uid="{6DD0F824-5B41-4666-BBDD-AAFA00D118AC}" name="base_run" dataDxfId="97"/>
    <tableColumn id="9" xr3:uid="{7B19CFF6-F812-42B4-8EE0-4CA2E01540E6}" name="fallback_run" dataDxfId="96"/>
    <tableColumn id="10" xr3:uid="{111096EE-8EF0-423B-A93F-466D335F370B}" name="C1_ret_full_fix" dataDxfId="95"/>
    <tableColumn id="11" xr3:uid="{26B64FE1-EF55-4963-80C4-6F80D70F85F9}" name="C2_ret_full_fix" dataDxfId="94"/>
    <tableColumn id="12" xr3:uid="{12AC9CC2-12CB-4F00-826B-E37C4FCB114F}" name="C3_ret_full_fix" dataDxfId="93"/>
    <tableColumn id="13" xr3:uid="{7CF191D0-FD2B-4FA7-98CD-5D659FB0BE22}" name="C4_ret_full_fix" dataDxfId="92"/>
    <tableColumn id="14" xr3:uid="{13FBEC71-075E-4D87-AD93-A8679B52C282}" name="C5_ret_full_fix" dataDxfId="91"/>
    <tableColumn id="15" xr3:uid="{262B23EA-8782-4E1D-B38A-6C7B6B9ADA5D}" name="C6_ret_full_fix" dataDxfId="90"/>
    <tableColumn id="16" xr3:uid="{6BF72792-105B-49FE-B257-E7367BF3EBDD}" name="C1_dd_full_fix" dataDxfId="89"/>
    <tableColumn id="17" xr3:uid="{3C1554B2-9C98-4ABE-8020-9AD119348638}" name="C2_dd_full_fix" dataDxfId="88"/>
    <tableColumn id="18" xr3:uid="{2C9E6337-C960-4133-A61F-0BBA6904FAFF}" name="C3_dd_full_fix" dataDxfId="87"/>
    <tableColumn id="19" xr3:uid="{6C9649C4-10A0-4F15-AA75-6BF47FC18DDF}" name="C4_dd_full_fix" dataDxfId="86"/>
    <tableColumn id="20" xr3:uid="{DB15526B-4BA5-4A20-8E28-D383E8A055E5}" name="C5_dd_full_fix" dataDxfId="85"/>
    <tableColumn id="21" xr3:uid="{0B8E807B-BF76-4477-A39A-37F7C300671B}" name="C6_dd_full_fix" dataDxfId="84"/>
    <tableColumn id="22" xr3:uid="{514448B0-12D7-418B-8C66-4260C62F9C6A}" name="C1_rec_full_fix" dataDxfId="83"/>
    <tableColumn id="23" xr3:uid="{7B7BBFC4-01E4-434A-BA97-5EFB507B0EEA}" name="C2_rec_full_fix" dataDxfId="82"/>
    <tableColumn id="24" xr3:uid="{A711AD45-5C1A-4F2C-B597-6968574124A9}" name="C3_rec_full_fix" dataDxfId="81"/>
    <tableColumn id="25" xr3:uid="{E48468DA-C24C-4A69-B7A8-D3D6DD924C1D}" name="C4_rec_full_fix" dataDxfId="80"/>
    <tableColumn id="26" xr3:uid="{9FB32FB1-59CC-46EC-8618-C6F3103D2EFF}" name="C5_rec_full_fix" dataDxfId="79"/>
    <tableColumn id="27" xr3:uid="{54B85DD1-2793-4798-BF94-9AC671613918}" name="C6_rec_full_fix" dataDxfId="78"/>
    <tableColumn id="28" xr3:uid="{B46AB38E-A91C-4B35-9D81-46E4108E1366}" name="C1_dd_full_flex" dataDxfId="77"/>
    <tableColumn id="29" xr3:uid="{3D63AF63-159B-4BFA-96F6-AE7BDAA2BE59}" name="C2_dd_full_flex" dataDxfId="76"/>
    <tableColumn id="30" xr3:uid="{8FBCDCC0-0D7E-46EF-ABF4-F98FFB56D96E}" name="C3_dd_full_flex" dataDxfId="75"/>
    <tableColumn id="31" xr3:uid="{1C16DE4F-29EB-4CE6-AC82-267041FF3331}" name="C4_dd_full_flex" dataDxfId="74"/>
    <tableColumn id="32" xr3:uid="{901EBE31-6302-4EBB-8FB0-B3F4FD2FB08B}" name="C5_dd_full_flex" dataDxfId="73"/>
    <tableColumn id="33" xr3:uid="{0AA4B955-2195-4AF8-9BBA-8C42D8FF8C38}" name="C6_dd_full_flex" dataDxfId="72"/>
    <tableColumn id="34" xr3:uid="{09690C66-938A-479F-8EA7-2CBF6D53F86F}" name="C1_days_full_flex" dataDxfId="71"/>
    <tableColumn id="35" xr3:uid="{DCA84DA8-2059-4326-B6B6-C56B64DDA7F5}" name="C2_days_full_flex" dataDxfId="70"/>
    <tableColumn id="36" xr3:uid="{5631031A-0A6B-4217-B428-CAD6DD49476C}" name="C3_days_full_flex" dataDxfId="69"/>
    <tableColumn id="37" xr3:uid="{3A1BB06A-C9CB-4A27-9419-4424C393CB7D}" name="C4_days_full_flex" dataDxfId="68"/>
    <tableColumn id="38" xr3:uid="{8786B158-550A-464E-8B94-88670F5981BE}" name="C5_days_full_flex" dataDxfId="67"/>
    <tableColumn id="39" xr3:uid="{C4A7F350-4E54-4F47-BC62-3801B7E31A26}" name="C6_days_full_flex" dataDxfId="66"/>
    <tableColumn id="40" xr3:uid="{8E43DF94-1CE3-45D2-B9E7-5B2C4D2AA881}" name="C1_cens_vs_mcap" dataDxfId="65"/>
    <tableColumn id="41" xr3:uid="{CCDA6FB3-7CE8-4FDA-99F4-EA8EF337EB26}" name="C2_cens_vs_mcap" dataDxfId="64"/>
    <tableColumn id="42" xr3:uid="{96EBDFD6-ECE6-4718-B63F-D47F0A7AE8B0}" name="C3_cens_vs_mcap" dataDxfId="63"/>
    <tableColumn id="43" xr3:uid="{C5DF8854-C1FB-43E6-B03C-DD98D27C9524}" name="C4_cens_vs_mcap" dataDxfId="62"/>
    <tableColumn id="44" xr3:uid="{B0124824-C924-4E39-AAFD-B494BF160A4A}" name="C5_cens_vs_mcap" dataDxfId="61"/>
    <tableColumn id="45" xr3:uid="{EFB79887-3416-459E-80DA-BF17C62F940D}" name="C6_cens_vs_mcap" dataDxfId="60"/>
    <tableColumn id="46" xr3:uid="{16EA752F-1490-44C1-91A7-E7B516F3A8EE}" name="C1_rec_full_flex" dataDxfId="59"/>
    <tableColumn id="47" xr3:uid="{1EB2DB64-9B2E-4438-9803-D394BC095218}" name="C2_rec_full_flex" dataDxfId="58"/>
    <tableColumn id="48" xr3:uid="{CD089499-F000-4ECF-B2FC-3DAC53FD06FE}" name="C3_rec_full_flex" dataDxfId="57"/>
    <tableColumn id="49" xr3:uid="{4584F568-89D1-44B5-AB5B-4A3F5CCCFC3A}" name="C4_rec_full_flex" dataDxfId="56"/>
    <tableColumn id="50" xr3:uid="{76C7CC6E-4B46-4494-9EE2-10BB660D14B8}" name="C5_rec_full_flex" dataDxfId="55"/>
    <tableColumn id="51" xr3:uid="{0FA2B199-C8D3-4E91-BB47-3C9691C4EDE9}" name="C6_rec_full_flex" dataDxfId="54"/>
    <tableColumn id="52" xr3:uid="{BC3987B8-9980-4071-AF17-BC684B88294B}" name="C1_ulcer_flex" dataDxfId="53"/>
    <tableColumn id="53" xr3:uid="{E9E626F6-5260-4361-AB17-8368CE6049B7}" name="C2_ulcer_flex" dataDxfId="52"/>
    <tableColumn id="54" xr3:uid="{4C013E7F-4820-4C27-A375-F1FB46207310}" name="C3_ulcer_flex" dataDxfId="51"/>
    <tableColumn id="55" xr3:uid="{F7D46594-19AA-45D6-9F11-CD229C1A7C31}" name="C4_ulcer_flex" dataDxfId="50"/>
    <tableColumn id="56" xr3:uid="{A1F2546C-E341-4C84-9D0F-76D7D73A4564}" name="C5_ulcer_flex" dataDxfId="49"/>
    <tableColumn id="57" xr3:uid="{F45C76F0-47ED-43EE-B2D6-DF46D9233C8C}" name="C6_ulcer_flex" dataDxfId="48"/>
    <tableColumn id="58" xr3:uid="{E648214E-238E-4728-A1BD-067B70407B39}" name="C1_nodd_flex" dataDxfId="47"/>
    <tableColumn id="59" xr3:uid="{6E1759E3-6036-4625-B562-8D9CCCA6971A}" name="C2_nodd_flex" dataDxfId="46"/>
    <tableColumn id="60" xr3:uid="{9BBA68B1-B52E-46C1-BB4C-0052EB677E60}" name="C3_nodd_flex" dataDxfId="45"/>
    <tableColumn id="61" xr3:uid="{AE47FA5F-C5B2-4086-A1FC-82FDC0EB9638}" name="C4_nodd_flex" dataDxfId="44"/>
    <tableColumn id="62" xr3:uid="{88DEC562-AFF5-4B8B-A806-C8A372EAE950}" name="C5_nodd_flex" dataDxfId="43"/>
    <tableColumn id="63" xr3:uid="{5D67CD39-9915-4EFF-8281-8C4A8D074428}" name="C6_nodd_flex" dataDxfId="42"/>
    <tableColumn id="64" xr3:uid="{E0A9FB1B-B147-498A-BEF5-E0D0CABBA603}" name="C1_ret_ptt_fix" dataDxfId="41"/>
    <tableColumn id="65" xr3:uid="{5F6B7B27-5D85-438C-A740-2F57F8F9E9AD}" name="C2_ret_ptt_fix" dataDxfId="40"/>
    <tableColumn id="66" xr3:uid="{4B976BDD-A09F-4396-8766-B65EA970D974}" name="C3_ret_ptt_fix" dataDxfId="39"/>
    <tableColumn id="67" xr3:uid="{390FBD54-10F7-4EA8-A8BF-6145EDC64E9D}" name="C4_ret_ptt_fix" dataDxfId="38"/>
    <tableColumn id="68" xr3:uid="{CC97C96E-841E-48EB-AE5A-330ED2D7754B}" name="C5_ret_ptt_fix" dataDxfId="37"/>
    <tableColumn id="69" xr3:uid="{7292C0A0-7584-4928-9BD4-0F848395ED2A}" name="C6_ret_ptt_fix" dataDxfId="36"/>
    <tableColumn id="70" xr3:uid="{26E1F86C-6249-4257-9E83-67D80B964208}" name="C1_dd_ptt_fix" dataDxfId="35"/>
    <tableColumn id="71" xr3:uid="{307405BA-F1B4-422E-AE65-4F2512BEA0F2}" name="C2_dd_ptt_fix" dataDxfId="34"/>
    <tableColumn id="72" xr3:uid="{CB22AC67-B674-4858-BEEF-264D7DC9A3A0}" name="C3_dd_ptt_fix" dataDxfId="33"/>
    <tableColumn id="73" xr3:uid="{1D4E15E9-A2F0-4ECB-90D1-E0BF290D3259}" name="C4_dd_ptt_fix" dataDxfId="32"/>
    <tableColumn id="74" xr3:uid="{0F03A53C-0B1D-4913-8DEB-1C5DBD43875C}" name="C5_dd_ptt_fix" dataDxfId="31"/>
    <tableColumn id="75" xr3:uid="{2E722FFB-4B3B-484D-AF97-024B02EC8B1F}" name="C6_dd_ptt_fix" dataDxfId="30"/>
    <tableColumn id="76" xr3:uid="{E53BA339-0E2B-48C9-98AD-09E604E6BEC2}" name="C1_days_ptt_flex" dataDxfId="29"/>
    <tableColumn id="77" xr3:uid="{8CE3E9E8-1079-4C1A-9AE4-A9481548E7BE}" name="C2_days_ptt_flex" dataDxfId="28"/>
    <tableColumn id="78" xr3:uid="{6C53144D-500C-4E30-8470-31A340DA00F1}" name="C3_days_ptt_flex" dataDxfId="27"/>
    <tableColumn id="79" xr3:uid="{5AFA9DA3-2EF7-46B6-946E-9935A028D026}" name="C4_days_ptt_flex" dataDxfId="26"/>
    <tableColumn id="80" xr3:uid="{01A08A32-B806-4AC4-A7F2-32B815D89AB2}" name="C5_days_ptt_flex" dataDxfId="25"/>
    <tableColumn id="81" xr3:uid="{469A695E-0258-43B0-AB70-193B634CEFDE}" name="C6_days_ptt_flex" dataDxfId="24"/>
    <tableColumn id="82" xr3:uid="{8E41A732-B75E-4D75-A757-3073139D5D0E}" name="C1_ret_ttp_fix" dataDxfId="23"/>
    <tableColumn id="83" xr3:uid="{0D96D631-9324-461A-97AF-8F7BA8FB61D5}" name="C2_ret_ttp_fix" dataDxfId="22"/>
    <tableColumn id="84" xr3:uid="{87950C53-0F4F-47FA-B12D-C372157C4D6A}" name="C3_ret_ttp_fix" dataDxfId="21"/>
    <tableColumn id="85" xr3:uid="{4519FF4F-3E3C-4C5A-88ED-508A444C7424}" name="C4_ret_ttp_fix" dataDxfId="20"/>
    <tableColumn id="86" xr3:uid="{5424C1B0-5919-4DF9-8FBE-B05A32E31939}" name="C5_ret_ttp_fix" dataDxfId="19"/>
    <tableColumn id="87" xr3:uid="{4CA6CCBE-2A46-46A6-A1A0-6BF1804912BC}" name="C6_ret_ttp_fix" dataDxfId="18"/>
    <tableColumn id="88" xr3:uid="{5D921364-ABDB-4E5B-9FB9-61B365CEBBE3}" name="C1_dd_ttp_fix" dataDxfId="17"/>
    <tableColumn id="89" xr3:uid="{486AE3A9-C817-4A65-8D48-E9E76139ABAD}" name="C2_dd_ttp_fix" dataDxfId="16"/>
    <tableColumn id="90" xr3:uid="{414E907D-1BBD-42B4-990E-170CCF12F78A}" name="C3_dd_ttp_fix" dataDxfId="15"/>
    <tableColumn id="91" xr3:uid="{AE9EE36B-D607-40D3-A0A4-3A584E344F24}" name="C4_dd_ttp_fix" dataDxfId="14"/>
    <tableColumn id="92" xr3:uid="{F1F54920-197F-47CB-A985-3E16BDBF5BD8}" name="C5_dd_ttp_fix" dataDxfId="13"/>
    <tableColumn id="93" xr3:uid="{FF6CEB72-8CAB-473D-83E9-9186DC5337F6}" name="C6_dd_ttp_fix" dataDxfId="12"/>
    <tableColumn id="94" xr3:uid="{7D1D7E5D-CB90-429E-ABA6-F1A14EF89AF4}" name="C1_days_ttp_flex" dataDxfId="11"/>
    <tableColumn id="95" xr3:uid="{76E97DEC-5748-4A2B-B725-E6AB7F1001B8}" name="C2_days_ttp_flex" dataDxfId="10"/>
    <tableColumn id="96" xr3:uid="{6C8E3154-3CE5-47C6-9FC0-6AB09A3673A3}" name="C3_days_ttp_flex" dataDxfId="9"/>
    <tableColumn id="97" xr3:uid="{B8F152F9-B9E6-4E97-85B4-936B97A697BB}" name="C4_days_ttp_flex" dataDxfId="8"/>
    <tableColumn id="98" xr3:uid="{EF83C8AA-723A-48DB-9DB3-7B297F97ED31}" name="C5_days_ttp_flex" dataDxfId="7"/>
    <tableColumn id="99" xr3:uid="{3068CFA4-FBC1-4996-BBD0-8E855EF9956D}" name="C6_days_ttp_flex" dataDxfId="6"/>
    <tableColumn id="100" xr3:uid="{8DAA8EDF-6D31-45CA-9639-72C4D05F39A7}" name="C1_ret_to_even_ttp_flex" dataDxfId="5"/>
    <tableColumn id="101" xr3:uid="{685465B2-DD0A-4B25-A61D-058CBD4BB111}" name="C2_ret_to_even_ttp_flex" dataDxfId="4"/>
    <tableColumn id="102" xr3:uid="{1B04D5A1-D385-4ECA-9CF0-DB2035DE3A56}" name="C3_ret_to_even_ttp_flex" dataDxfId="3"/>
    <tableColumn id="103" xr3:uid="{9FF482C0-3873-4FFE-AE64-03ABD6D1E7EA}" name="C4_ret_to_even_ttp_flex" dataDxfId="2"/>
    <tableColumn id="104" xr3:uid="{999A3C5D-FD62-4117-981D-5E2BB6AEB9FC}" name="C5_ret_to_even_ttp_flex" dataDxfId="1"/>
    <tableColumn id="105" xr3:uid="{8E0F9AC3-F8B7-4107-9930-C82811D5D0D4}" name="C6_ret_to_even_ttp_fl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opLeftCell="Q1" workbookViewId="0">
      <selection activeCell="B5" sqref="B5"/>
    </sheetView>
  </sheetViews>
  <sheetFormatPr defaultRowHeight="14.4" x14ac:dyDescent="0.3"/>
  <cols>
    <col min="1" max="1" width="12.88671875" bestFit="1" customWidth="1"/>
    <col min="2" max="2" width="22.21875" bestFit="1" customWidth="1"/>
    <col min="3" max="3" width="14.109375" bestFit="1" customWidth="1"/>
    <col min="4" max="4" width="10.5546875" bestFit="1" customWidth="1"/>
    <col min="5" max="5" width="12.77734375" bestFit="1" customWidth="1"/>
    <col min="6" max="6" width="22.21875" bestFit="1" customWidth="1"/>
    <col min="7" max="7" width="19.44140625" bestFit="1" customWidth="1"/>
    <col min="8" max="8" width="12.77734375" bestFit="1" customWidth="1"/>
    <col min="9" max="9" width="16.109375" bestFit="1" customWidth="1"/>
    <col min="10" max="10" width="15.109375" bestFit="1" customWidth="1"/>
    <col min="11" max="11" width="15.44140625" bestFit="1" customWidth="1"/>
    <col min="12" max="12" width="15" bestFit="1" customWidth="1"/>
    <col min="13" max="13" width="16.109375" bestFit="1" customWidth="1"/>
    <col min="14" max="14" width="13.5546875" bestFit="1" customWidth="1"/>
    <col min="15" max="15" width="20" bestFit="1" customWidth="1"/>
    <col min="16" max="16" width="25.77734375" bestFit="1" customWidth="1"/>
    <col min="17" max="17" width="24.88671875" bestFit="1" customWidth="1"/>
    <col min="18" max="18" width="23.5546875" bestFit="1" customWidth="1"/>
    <col min="19" max="19" width="20.77734375" bestFit="1" customWidth="1"/>
    <col min="20" max="21" width="20.44140625" bestFit="1" customWidth="1"/>
    <col min="22" max="22" width="22.109375" bestFit="1" customWidth="1"/>
    <col min="23" max="24" width="21.6640625" bestFit="1" customWidth="1"/>
  </cols>
  <sheetData>
    <row r="1" spans="1:24" x14ac:dyDescent="0.3">
      <c r="A1" s="31" t="s">
        <v>23</v>
      </c>
      <c r="B1" s="31" t="s">
        <v>24</v>
      </c>
      <c r="C1" s="31" t="s">
        <v>25</v>
      </c>
      <c r="D1" s="31" t="s">
        <v>26</v>
      </c>
      <c r="E1" s="31" t="s">
        <v>27</v>
      </c>
      <c r="F1" s="31" t="s">
        <v>30</v>
      </c>
      <c r="G1" s="32" t="s">
        <v>32</v>
      </c>
      <c r="H1" s="32" t="s">
        <v>33</v>
      </c>
      <c r="I1" s="32" t="s">
        <v>34</v>
      </c>
      <c r="J1" s="32" t="s">
        <v>35</v>
      </c>
      <c r="K1" s="32" t="s">
        <v>36</v>
      </c>
      <c r="L1" s="32" t="s">
        <v>37</v>
      </c>
      <c r="M1" s="32" t="s">
        <v>38</v>
      </c>
      <c r="N1" s="32" t="s">
        <v>39</v>
      </c>
      <c r="O1" s="32" t="s">
        <v>40</v>
      </c>
      <c r="P1" s="32" t="s">
        <v>41</v>
      </c>
      <c r="Q1" s="32" t="s">
        <v>42</v>
      </c>
      <c r="R1" s="32" t="s">
        <v>43</v>
      </c>
      <c r="S1" s="35" t="s">
        <v>44</v>
      </c>
      <c r="T1" s="35" t="s">
        <v>45</v>
      </c>
      <c r="U1" s="35" t="s">
        <v>46</v>
      </c>
      <c r="V1" s="35" t="s">
        <v>47</v>
      </c>
      <c r="W1" s="35" t="s">
        <v>48</v>
      </c>
      <c r="X1" s="35" t="s">
        <v>49</v>
      </c>
    </row>
    <row r="2" spans="1:24" x14ac:dyDescent="0.3">
      <c r="A2" s="7" t="s">
        <v>8</v>
      </c>
      <c r="B2" s="7" t="s">
        <v>9</v>
      </c>
      <c r="C2" s="7" t="s">
        <v>2</v>
      </c>
      <c r="D2" s="7" t="s">
        <v>10</v>
      </c>
      <c r="E2" s="7" t="s">
        <v>4</v>
      </c>
      <c r="F2" s="7"/>
      <c r="G2" s="8">
        <v>15.23035610016994</v>
      </c>
      <c r="H2" s="8">
        <v>0.1048719247614389</v>
      </c>
      <c r="I2" s="8">
        <v>0.20312449756084061</v>
      </c>
      <c r="J2" s="9">
        <v>0.38772028097323208</v>
      </c>
      <c r="K2" s="9">
        <v>0.54435196104788541</v>
      </c>
      <c r="L2" s="9">
        <v>0.20039079924221981</v>
      </c>
      <c r="M2" s="8">
        <v>-0.5233370252427425</v>
      </c>
      <c r="N2" s="8">
        <v>0.18510860445881391</v>
      </c>
      <c r="O2" s="8">
        <v>0.1618545260524486</v>
      </c>
      <c r="P2" s="8">
        <v>0.2509365122693421</v>
      </c>
      <c r="Q2" s="9">
        <v>1.2384941189266541</v>
      </c>
      <c r="R2" s="9">
        <v>-6.0212668647063407E-2</v>
      </c>
      <c r="S2" s="13"/>
      <c r="T2" s="13"/>
      <c r="U2" s="13"/>
      <c r="V2" s="13"/>
      <c r="W2" s="13"/>
      <c r="X2" s="13"/>
    </row>
    <row r="3" spans="1:24" x14ac:dyDescent="0.3">
      <c r="A3" t="s">
        <v>11</v>
      </c>
      <c r="B3" t="s">
        <v>12</v>
      </c>
      <c r="C3" t="s">
        <v>2</v>
      </c>
      <c r="D3" t="s">
        <v>3</v>
      </c>
      <c r="E3" t="s">
        <v>4</v>
      </c>
      <c r="F3" t="s">
        <v>12</v>
      </c>
      <c r="G3" s="1">
        <v>13.595801461172931</v>
      </c>
      <c r="H3" s="1">
        <v>0.10068293369116341</v>
      </c>
      <c r="I3" s="1">
        <v>0.1970163866567381</v>
      </c>
      <c r="J3" s="2">
        <v>0.38046618422068929</v>
      </c>
      <c r="K3" s="2">
        <v>0.5333204849677361</v>
      </c>
      <c r="L3" s="2">
        <v>0.18100431342318221</v>
      </c>
      <c r="M3" s="1">
        <v>-0.55624604622415841</v>
      </c>
      <c r="N3" s="1">
        <v>0.1443703308361573</v>
      </c>
      <c r="O3" s="1">
        <v>0.76638353312527074</v>
      </c>
      <c r="P3" s="1">
        <v>0.225948410529861</v>
      </c>
      <c r="Q3" s="2">
        <v>1.20774576020206</v>
      </c>
      <c r="R3" s="2">
        <v>-2.3964275994498581E-2</v>
      </c>
      <c r="S3" s="6" t="s">
        <v>13</v>
      </c>
      <c r="T3" s="6" t="s">
        <v>7</v>
      </c>
      <c r="U3" s="6" t="s">
        <v>13</v>
      </c>
      <c r="V3" s="6" t="s">
        <v>7</v>
      </c>
      <c r="W3" s="6" t="s">
        <v>7</v>
      </c>
      <c r="X3" s="6" t="s">
        <v>13</v>
      </c>
    </row>
    <row r="4" spans="1:24" x14ac:dyDescent="0.3">
      <c r="A4" t="s">
        <v>14</v>
      </c>
      <c r="B4" t="s">
        <v>15</v>
      </c>
      <c r="C4" t="s">
        <v>2</v>
      </c>
      <c r="D4" t="s">
        <v>3</v>
      </c>
      <c r="E4" t="s">
        <v>4</v>
      </c>
      <c r="F4" t="s">
        <v>15</v>
      </c>
      <c r="G4" s="1">
        <v>12.77320805966079</v>
      </c>
      <c r="H4" s="1">
        <v>9.8400443772742374E-2</v>
      </c>
      <c r="I4" s="1">
        <v>0.1935375348069194</v>
      </c>
      <c r="J4" s="2">
        <v>0.37657015546687178</v>
      </c>
      <c r="K4" s="2">
        <v>0.52883062279024806</v>
      </c>
      <c r="L4" s="2">
        <v>0.18202492198111361</v>
      </c>
      <c r="M4" s="1">
        <v>-0.54058775414803995</v>
      </c>
      <c r="N4" s="1">
        <v>0.20219584577095201</v>
      </c>
      <c r="O4" s="1">
        <v>2.0899230778048361</v>
      </c>
      <c r="P4" s="1">
        <v>0.2298921566595962</v>
      </c>
      <c r="Q4" s="2">
        <v>1.129421656730518</v>
      </c>
      <c r="R4" s="2">
        <v>-5.3648663219396528E-2</v>
      </c>
      <c r="S4" s="6" t="s">
        <v>5</v>
      </c>
      <c r="T4" s="6" t="s">
        <v>13</v>
      </c>
      <c r="U4" s="6" t="s">
        <v>5</v>
      </c>
      <c r="V4" s="6" t="s">
        <v>13</v>
      </c>
      <c r="W4" s="6" t="s">
        <v>13</v>
      </c>
      <c r="X4" s="6" t="s">
        <v>16</v>
      </c>
    </row>
    <row r="5" spans="1:24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</v>
      </c>
      <c r="G5" s="1">
        <v>11.34247571880571</v>
      </c>
      <c r="H5" s="1">
        <v>9.4097801267474912E-2</v>
      </c>
      <c r="I5" s="1">
        <v>0.17172192632608471</v>
      </c>
      <c r="J5" s="2">
        <v>0.40155688632183389</v>
      </c>
      <c r="K5" s="2">
        <v>0.56528190332248685</v>
      </c>
      <c r="L5" s="2">
        <v>0.20644651452777599</v>
      </c>
      <c r="M5" s="1">
        <v>-0.45579748092484579</v>
      </c>
      <c r="N5" s="1">
        <v>0.10490304236312541</v>
      </c>
      <c r="O5" s="1">
        <v>1.295281120905988</v>
      </c>
      <c r="P5" s="1">
        <v>0.1832164706143988</v>
      </c>
      <c r="Q5" s="2">
        <v>1.070666193799884</v>
      </c>
      <c r="R5" s="2">
        <v>5.4045434059909782E-2</v>
      </c>
      <c r="S5" s="6" t="s">
        <v>5</v>
      </c>
      <c r="T5" s="6" t="s">
        <v>6</v>
      </c>
      <c r="U5" s="6" t="s">
        <v>5</v>
      </c>
      <c r="V5" s="6" t="s">
        <v>6</v>
      </c>
      <c r="W5" s="6" t="s">
        <v>6</v>
      </c>
      <c r="X5" s="6" t="s">
        <v>7</v>
      </c>
    </row>
    <row r="6" spans="1:24" x14ac:dyDescent="0.3">
      <c r="A6" t="s">
        <v>21</v>
      </c>
      <c r="B6" t="s">
        <v>22</v>
      </c>
      <c r="C6" t="s">
        <v>2</v>
      </c>
      <c r="D6" t="s">
        <v>3</v>
      </c>
      <c r="E6" t="s">
        <v>4</v>
      </c>
      <c r="F6" t="s">
        <v>22</v>
      </c>
      <c r="G6" s="1">
        <v>14.77344973838645</v>
      </c>
      <c r="H6" s="1">
        <v>0.1037434816583733</v>
      </c>
      <c r="I6" s="1">
        <v>0.21674807264745671</v>
      </c>
      <c r="J6" s="2">
        <v>0.35864712117574149</v>
      </c>
      <c r="K6" s="2">
        <v>0.50350775363868783</v>
      </c>
      <c r="L6" s="2">
        <v>0.168476189031256</v>
      </c>
      <c r="M6" s="1">
        <v>-0.61577533451404598</v>
      </c>
      <c r="N6" s="1">
        <v>0.15492699639417551</v>
      </c>
      <c r="O6" s="1">
        <v>5.4942423843430417</v>
      </c>
      <c r="P6" s="1">
        <v>0.23339039330609629</v>
      </c>
      <c r="Q6" s="2">
        <v>1.196428135996805</v>
      </c>
      <c r="R6" s="2">
        <v>-1.9999201788623359E-2</v>
      </c>
      <c r="S6" s="6" t="s">
        <v>13</v>
      </c>
      <c r="T6" s="6" t="s">
        <v>13</v>
      </c>
      <c r="U6" s="6" t="s">
        <v>13</v>
      </c>
      <c r="V6" s="6" t="s">
        <v>7</v>
      </c>
      <c r="W6" s="6" t="s">
        <v>13</v>
      </c>
      <c r="X6" s="6" t="s">
        <v>13</v>
      </c>
    </row>
    <row r="7" spans="1:24" x14ac:dyDescent="0.3">
      <c r="A7" s="7" t="s">
        <v>19</v>
      </c>
      <c r="B7" s="7" t="s">
        <v>20</v>
      </c>
      <c r="C7" s="7" t="s">
        <v>2</v>
      </c>
      <c r="D7" s="7" t="s">
        <v>3</v>
      </c>
      <c r="E7" s="7" t="s">
        <v>4</v>
      </c>
      <c r="F7" s="7" t="s">
        <v>20</v>
      </c>
      <c r="G7" s="8">
        <v>15.337050668874189</v>
      </c>
      <c r="H7" s="8">
        <v>0.10513101918011029</v>
      </c>
      <c r="I7" s="8">
        <v>0.2194950907957611</v>
      </c>
      <c r="J7" s="9">
        <v>0.35988317822933102</v>
      </c>
      <c r="K7" s="9">
        <v>0.50486586360926622</v>
      </c>
      <c r="L7" s="9">
        <v>0.17234588606085061</v>
      </c>
      <c r="M7" s="8">
        <v>-0.61000016642689914</v>
      </c>
      <c r="N7" s="8">
        <v>0.1598727964560844</v>
      </c>
      <c r="O7" s="8">
        <v>4.8293763448767084</v>
      </c>
      <c r="P7" s="8">
        <v>0.2348408267209372</v>
      </c>
      <c r="Q7" s="9">
        <v>1.1829350239538781</v>
      </c>
      <c r="R7" s="9">
        <v>-1.459441360648068E-2</v>
      </c>
      <c r="S7" s="13" t="s">
        <v>7</v>
      </c>
      <c r="T7" s="13" t="s">
        <v>13</v>
      </c>
      <c r="U7" s="13" t="s">
        <v>7</v>
      </c>
      <c r="V7" s="13" t="s">
        <v>7</v>
      </c>
      <c r="W7" s="13" t="s">
        <v>13</v>
      </c>
      <c r="X7" s="13" t="s">
        <v>7</v>
      </c>
    </row>
    <row r="8" spans="1:24" x14ac:dyDescent="0.3">
      <c r="A8" s="7" t="s">
        <v>17</v>
      </c>
      <c r="B8" s="7" t="s">
        <v>18</v>
      </c>
      <c r="C8" s="7" t="s">
        <v>2</v>
      </c>
      <c r="D8" s="7" t="s">
        <v>3</v>
      </c>
      <c r="E8" s="7" t="s">
        <v>4</v>
      </c>
      <c r="F8" s="7" t="s">
        <v>18</v>
      </c>
      <c r="G8" s="8">
        <v>15.946815766290831</v>
      </c>
      <c r="H8" s="8">
        <v>0.1065811609195164</v>
      </c>
      <c r="I8" s="8">
        <v>0.21836728436671879</v>
      </c>
      <c r="J8" s="9">
        <v>0.36774436083828249</v>
      </c>
      <c r="K8" s="9">
        <v>0.51543332712204382</v>
      </c>
      <c r="L8" s="9">
        <v>0.17339800083466539</v>
      </c>
      <c r="M8" s="8">
        <v>-0.61466199383198949</v>
      </c>
      <c r="N8" s="8">
        <v>0.1667250989382133</v>
      </c>
      <c r="O8" s="8">
        <v>3.360186480545662</v>
      </c>
      <c r="P8" s="8">
        <v>0.2352284567387817</v>
      </c>
      <c r="Q8" s="9">
        <v>1.1935436182990631</v>
      </c>
      <c r="R8" s="9">
        <v>-6.5566177713491406E-3</v>
      </c>
      <c r="S8" s="13" t="s">
        <v>13</v>
      </c>
      <c r="T8" s="13" t="s">
        <v>13</v>
      </c>
      <c r="U8" s="13" t="s">
        <v>13</v>
      </c>
      <c r="V8" s="13" t="s">
        <v>7</v>
      </c>
      <c r="W8" s="13" t="s">
        <v>13</v>
      </c>
      <c r="X8" s="13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1DCD-36A2-494C-843D-0D53679DC4CE}">
  <dimension ref="A1:R52"/>
  <sheetViews>
    <sheetView tabSelected="1" topLeftCell="F7" workbookViewId="0">
      <selection activeCell="J28" sqref="J28"/>
    </sheetView>
  </sheetViews>
  <sheetFormatPr defaultRowHeight="14.4" x14ac:dyDescent="0.3"/>
  <cols>
    <col min="1" max="1" width="24.21875" bestFit="1" customWidth="1"/>
    <col min="2" max="2" width="21.33203125" bestFit="1" customWidth="1"/>
    <col min="3" max="3" width="18.88671875" bestFit="1" customWidth="1"/>
    <col min="4" max="4" width="17" bestFit="1" customWidth="1"/>
    <col min="5" max="5" width="12.44140625" bestFit="1" customWidth="1"/>
    <col min="6" max="6" width="21.33203125" bestFit="1" customWidth="1"/>
    <col min="7" max="7" width="23.109375" bestFit="1" customWidth="1"/>
    <col min="8" max="8" width="23" bestFit="1" customWidth="1"/>
    <col min="9" max="9" width="24.109375" bestFit="1" customWidth="1"/>
    <col min="10" max="10" width="25.77734375" bestFit="1" customWidth="1"/>
    <col min="11" max="11" width="26" bestFit="1" customWidth="1"/>
    <col min="12" max="12" width="22.88671875" bestFit="1" customWidth="1"/>
    <col min="13" max="13" width="22.77734375" bestFit="1" customWidth="1"/>
    <col min="14" max="14" width="25.5546875" bestFit="1" customWidth="1"/>
    <col min="15" max="15" width="22.88671875" bestFit="1" customWidth="1"/>
    <col min="16" max="16" width="22.77734375" bestFit="1" customWidth="1"/>
    <col min="17" max="17" width="25.5546875" bestFit="1" customWidth="1"/>
    <col min="18" max="18" width="32" bestFit="1" customWidth="1"/>
  </cols>
  <sheetData>
    <row r="1" spans="1:18" x14ac:dyDescent="0.3">
      <c r="A1" s="48" t="s">
        <v>169</v>
      </c>
      <c r="B1" s="48" t="s">
        <v>170</v>
      </c>
      <c r="C1" s="48" t="s">
        <v>171</v>
      </c>
      <c r="D1" s="48" t="s">
        <v>172</v>
      </c>
      <c r="E1" s="48" t="s">
        <v>173</v>
      </c>
    </row>
    <row r="2" spans="1:18" x14ac:dyDescent="0.3">
      <c r="A2" s="49" t="s">
        <v>163</v>
      </c>
      <c r="B2" s="50">
        <v>0.16669999999999999</v>
      </c>
      <c r="C2" s="51">
        <v>0.24099999999999999</v>
      </c>
      <c r="D2" s="51">
        <v>0.4884</v>
      </c>
      <c r="E2" s="52">
        <v>0.14549999999999999</v>
      </c>
    </row>
    <row r="3" spans="1:18" x14ac:dyDescent="0.3">
      <c r="A3" s="49" t="s">
        <v>164</v>
      </c>
      <c r="B3" s="53">
        <v>0.16669999999999999</v>
      </c>
      <c r="C3" s="54">
        <v>0.27839999999999998</v>
      </c>
      <c r="D3" s="54">
        <v>0.27150000000000002</v>
      </c>
      <c r="E3" s="55">
        <v>0.18809999999999999</v>
      </c>
    </row>
    <row r="4" spans="1:18" x14ac:dyDescent="0.3">
      <c r="A4" s="49" t="s">
        <v>165</v>
      </c>
      <c r="B4" s="53">
        <v>0.16669999999999999</v>
      </c>
      <c r="C4" s="54">
        <v>9.6799999999999997E-2</v>
      </c>
      <c r="D4" s="54">
        <v>4.9399999999999999E-2</v>
      </c>
      <c r="E4" s="55">
        <v>0.1139</v>
      </c>
    </row>
    <row r="5" spans="1:18" x14ac:dyDescent="0.3">
      <c r="A5" s="49" t="s">
        <v>166</v>
      </c>
      <c r="B5" s="53">
        <v>0.16669999999999999</v>
      </c>
      <c r="C5" s="54">
        <v>0.1663</v>
      </c>
      <c r="D5" s="54">
        <v>1.7299999999999999E-2</v>
      </c>
      <c r="E5" s="55">
        <v>0.26719999999999999</v>
      </c>
    </row>
    <row r="6" spans="1:18" x14ac:dyDescent="0.3">
      <c r="A6" s="49" t="s">
        <v>167</v>
      </c>
      <c r="B6" s="53">
        <v>0.16669999999999999</v>
      </c>
      <c r="C6" s="54">
        <v>0.12470000000000001</v>
      </c>
      <c r="D6" s="54">
        <v>0.14810000000000001</v>
      </c>
      <c r="E6" s="55">
        <v>0.14979999999999999</v>
      </c>
    </row>
    <row r="7" spans="1:18" x14ac:dyDescent="0.3">
      <c r="A7" s="49" t="s">
        <v>168</v>
      </c>
      <c r="B7" s="56">
        <v>0.16669999999999999</v>
      </c>
      <c r="C7" s="57">
        <v>9.2700000000000005E-2</v>
      </c>
      <c r="D7" s="57">
        <v>2.52E-2</v>
      </c>
      <c r="E7" s="58">
        <v>0.13550000000000001</v>
      </c>
    </row>
    <row r="12" spans="1:18" x14ac:dyDescent="0.3">
      <c r="A12" s="43" t="s">
        <v>159</v>
      </c>
      <c r="B12" s="43" t="s">
        <v>160</v>
      </c>
      <c r="G12" s="59"/>
      <c r="L12" s="59"/>
      <c r="O12" s="59"/>
    </row>
    <row r="13" spans="1:18" x14ac:dyDescent="0.3">
      <c r="A13" s="36" t="s">
        <v>23</v>
      </c>
      <c r="B13" s="36" t="s">
        <v>24</v>
      </c>
      <c r="C13" s="36" t="s">
        <v>25</v>
      </c>
      <c r="D13" s="36" t="s">
        <v>26</v>
      </c>
      <c r="E13" s="36" t="s">
        <v>27</v>
      </c>
      <c r="F13" s="36" t="s">
        <v>30</v>
      </c>
      <c r="G13" s="41" t="s">
        <v>146</v>
      </c>
      <c r="H13" s="41" t="s">
        <v>147</v>
      </c>
      <c r="I13" s="41" t="s">
        <v>148</v>
      </c>
      <c r="J13" s="41" t="s">
        <v>149</v>
      </c>
      <c r="K13" s="41" t="s">
        <v>151</v>
      </c>
      <c r="L13" s="41" t="s">
        <v>152</v>
      </c>
      <c r="M13" s="41" t="s">
        <v>153</v>
      </c>
      <c r="N13" s="41" t="s">
        <v>154</v>
      </c>
      <c r="O13" s="41" t="s">
        <v>155</v>
      </c>
      <c r="P13" s="41" t="s">
        <v>156</v>
      </c>
      <c r="Q13" s="41" t="s">
        <v>158</v>
      </c>
      <c r="R13" s="41" t="s">
        <v>157</v>
      </c>
    </row>
    <row r="14" spans="1:18" x14ac:dyDescent="0.3">
      <c r="A14" s="33" t="s">
        <v>8</v>
      </c>
      <c r="B14" s="34" t="s">
        <v>9</v>
      </c>
      <c r="C14" s="34" t="s">
        <v>2</v>
      </c>
      <c r="D14" s="34" t="s">
        <v>10</v>
      </c>
      <c r="E14" s="34" t="s">
        <v>4</v>
      </c>
      <c r="F14" s="34"/>
      <c r="G14" s="44">
        <f>SUM(crises_vs_mcap!J2*$B$2+crises_vs_mcap!K2*$B$3+crises_vs_mcap!L2*$B$4+crises_vs_mcap!M2*$B$5+crises_vs_mcap!N2*$B$6+crises_vs_mcap!O2*$B$7)</f>
        <v>0</v>
      </c>
      <c r="H14" s="44">
        <f>SUM(crises_vs_mcap!P2*$B$2+crises_vs_mcap!Q2*$B$3+crises_vs_mcap!R2*$B$4+crises_vs_mcap!S2*$B$5+crises_vs_mcap!T2*$B$6+crises_vs_mcap!U2*$B$7)</f>
        <v>0</v>
      </c>
      <c r="I14" s="44">
        <f>SUM(crises_vs_mcap!AB2*$B$2+crises_vs_mcap!AC2*$B$3+crises_vs_mcap!AD2*$B$4+crises_vs_mcap!AE2*$B$5+crises_vs_mcap!AF2*$B$6+crises_vs_mcap!AG2*$B$7)</f>
        <v>0</v>
      </c>
      <c r="J14" s="45">
        <f>(N(crises_vs_mcap!AH2)*$B$2+N(crises_vs_mcap!AI2)*$B$3+N(crises_vs_mcap!AJ2)*$B$4+N(crises_vs_mcap!AK2)*$B$5+N(crises_vs_mcap!AL2)*$B$6+N(crises_vs_mcap!AM2)*$B$7)
/(ISNUMBER(crises_vs_mcap!AH2)*$B$2+ISNUMBER(crises_vs_mcap!AI2)*$B$3+ISNUMBER(crises_vs_mcap!AJ2)*$B$4+ISNUMBER(crises_vs_mcap!AK2)*$B$5+ISNUMBER(crises_vs_mcap!AL2)*$B$6+ISNUMBER(crises_vs_mcap!AM2)*$B$7)</f>
        <v>0</v>
      </c>
      <c r="K14" s="42">
        <f>SUM(crises_vs_mcap!AZ2*$B$2+crises_vs_mcap!BA2*$B$3+crises_vs_mcap!BB2*$B$4+crises_vs_mcap!BC2*$B$5+crises_vs_mcap!BD2*$B$6+crises_vs_mcap!BE2*$B$7)</f>
        <v>0</v>
      </c>
      <c r="L14" s="42">
        <f>SUM(crises_vs_mcap!BL2*$B$2+crises_vs_mcap!BM2*$B$3+crises_vs_mcap!BN2*$B$4+crises_vs_mcap!BO2*$B$5+crises_vs_mcap!BP2*$B$6+crises_vs_mcap!BQ2*$B$7)</f>
        <v>0</v>
      </c>
      <c r="M14" s="42">
        <f>SUM(crises_vs_mcap!BR2*$B$2+crises_vs_mcap!BS2*$B$3+crises_vs_mcap!BT2*$B$4+crises_vs_mcap!BU2*$B$5+crises_vs_mcap!BV2*$B$6+crises_vs_mcap!BW2*$B$7)</f>
        <v>0</v>
      </c>
      <c r="N14" s="46">
        <f>SUM(crises_vs_mcap!BX2*$B$2+crises_vs_mcap!BY2*$B$3+crises_vs_mcap!BZ2*$B$4+crises_vs_mcap!CA2*$B$5+crises_vs_mcap!CB2*$B$6+crises_vs_mcap!CC2*$B$7)</f>
        <v>0</v>
      </c>
      <c r="O14" s="42">
        <f>SUM(crises_vs_mcap!CD2*$B$2+crises_vs_mcap!CE2*$B$3+crises_vs_mcap!CF2*$B$4+crises_vs_mcap!CG2*$B$5+crises_vs_mcap!CH2*$B$6+crises_vs_mcap!CI2*$B$7)</f>
        <v>0</v>
      </c>
      <c r="P14" s="42">
        <f>SUM(crises_vs_mcap!CJ2*$B$2+crises_vs_mcap!CK2*$B$3+crises_vs_mcap!CL2*$B$4+crises_vs_mcap!CM2*$B$5+crises_vs_mcap!CN2*$B$6+crises_vs_mcap!CO2*$B$7)</f>
        <v>0</v>
      </c>
      <c r="Q14" s="47">
        <f>(N(crises_vs_mcap!CP2)*$B$2+N(crises_vs_mcap!CQ2)*$B$3+N(crises_vs_mcap!CR2)*$B$4+N(crises_vs_mcap!CS2)*$B$5+N(crises_vs_mcap!CT2)*$B$6+N(crises_vs_mcap!CU2)*$B$7)/(ISNUMBER(crises_vs_mcap!CP2)*$B$2+ISNUMBER(crises_vs_mcap!CQ2)*$B$3+ISNUMBER(crises_vs_mcap!CR2)*$B$4+ISNUMBER(crises_vs_mcap!CS2)*$B$5+ISNUMBER(crises_vs_mcap!CT2)*$B$6+ISNUMBER(crises_vs_mcap!CU2)*$B$7)</f>
        <v>0</v>
      </c>
      <c r="R14" s="42">
        <f>SUM(crises_vs_mcap!CV2*$B$2+crises_vs_mcap!CW2*$B$3+crises_vs_mcap!CX2*$B$4+crises_vs_mcap!CY2*$B$5+crises_vs_mcap!CZ2*$B$6+crises_vs_mcap!DA2*$B$7)</f>
        <v>0</v>
      </c>
    </row>
    <row r="15" spans="1:18" x14ac:dyDescent="0.3">
      <c r="A15" s="37" t="s">
        <v>11</v>
      </c>
      <c r="B15" s="38" t="s">
        <v>12</v>
      </c>
      <c r="C15" s="38" t="s">
        <v>2</v>
      </c>
      <c r="D15" s="38" t="s">
        <v>3</v>
      </c>
      <c r="E15" s="38" t="s">
        <v>4</v>
      </c>
      <c r="F15" s="38" t="s">
        <v>12</v>
      </c>
      <c r="G15" s="44">
        <f>SUM(crises_vs_mcap!J3*$B$2+crises_vs_mcap!K3*$B$3+crises_vs_mcap!L3*$B$4+crises_vs_mcap!M3*$B$5+crises_vs_mcap!N3*$B$6+crises_vs_mcap!O3*$B$7)</f>
        <v>2.7620565937872779E-2</v>
      </c>
      <c r="H15" s="44">
        <f>SUM(crises_vs_mcap!P3*$B$2+crises_vs_mcap!Q3*$B$3+crises_vs_mcap!R3*$B$4+crises_vs_mcap!S3*$B$5+crises_vs_mcap!T3*$B$6+crises_vs_mcap!U3*$B$7)</f>
        <v>2.1507022498596162E-2</v>
      </c>
      <c r="I15" s="44">
        <f>SUM(crises_vs_mcap!AB3*$B$2+crises_vs_mcap!AC3*$B$3+crises_vs_mcap!AD3*$B$4+crises_vs_mcap!AE3*$B$5+crises_vs_mcap!AF3*$B$6+crises_vs_mcap!AG3*$B$7)</f>
        <v>2.3659838789686961E-2</v>
      </c>
      <c r="J15" s="45">
        <f>(N(crises_vs_mcap!AH3)*$B$2+N(crises_vs_mcap!AI3)*$B$3+N(crises_vs_mcap!AJ3)*$B$4+N(crises_vs_mcap!AK3)*$B$5+N(crises_vs_mcap!AL3)*$B$6+N(crises_vs_mcap!AM3)*$B$7)
/(ISNUMBER(crises_vs_mcap!AH3)*$B$2+ISNUMBER(crises_vs_mcap!AI3)*$B$3+ISNUMBER(crises_vs_mcap!AJ3)*$B$4+ISNUMBER(crises_vs_mcap!AK3)*$B$5+ISNUMBER(crises_vs_mcap!AL3)*$B$6+ISNUMBER(crises_vs_mcap!AM3)*$B$7)</f>
        <v>15.000000000000002</v>
      </c>
      <c r="K15" s="42">
        <f>SUM(crises_vs_mcap!AZ3*$B$2+crises_vs_mcap!BA3*$B$3+crises_vs_mcap!BB3*$B$4+crises_vs_mcap!BC3*$B$5+crises_vs_mcap!BD3*$B$6+crises_vs_mcap!BE3*$B$7)</f>
        <v>-2.3426800164314834E-2</v>
      </c>
      <c r="L15" s="42">
        <f>SUM(crises_vs_mcap!BL3*$B$2+crises_vs_mcap!BM3*$B$3+crises_vs_mcap!BN3*$B$4+crises_vs_mcap!BO3*$B$5+crises_vs_mcap!BP3*$B$6+crises_vs_mcap!BQ3*$B$7)</f>
        <v>2.9642638254137856E-2</v>
      </c>
      <c r="M15" s="42">
        <f>SUM(crises_vs_mcap!BR3*$B$2+crises_vs_mcap!BS3*$B$3+crises_vs_mcap!BT3*$B$4+crises_vs_mcap!BU3*$B$5+crises_vs_mcap!BV3*$B$6+crises_vs_mcap!BW3*$B$7)</f>
        <v>1.9151629081132184E-2</v>
      </c>
      <c r="N15" s="46">
        <f>SUM(crises_vs_mcap!BX3*$B$2+crises_vs_mcap!BY3*$B$3+crises_vs_mcap!BZ3*$B$4+crises_vs_mcap!CA3*$B$5+crises_vs_mcap!CB3*$B$6+crises_vs_mcap!CC3*$B$7)</f>
        <v>-9.6685999999999996</v>
      </c>
      <c r="O15" s="42">
        <f>SUM(crises_vs_mcap!CD3*$B$2+crises_vs_mcap!CE3*$B$3+crises_vs_mcap!CF3*$B$4+crises_vs_mcap!CG3*$B$5+crises_vs_mcap!CH3*$B$6+crises_vs_mcap!CI3*$B$7)</f>
        <v>-1.6782380680194263E-3</v>
      </c>
      <c r="P15" s="42">
        <f>SUM(crises_vs_mcap!CJ3*$B$2+crises_vs_mcap!CK3*$B$3+crises_vs_mcap!CL3*$B$4+crises_vs_mcap!CM3*$B$5+crises_vs_mcap!CN3*$B$6+crises_vs_mcap!CO3*$B$7)</f>
        <v>2.5483413754071775E-4</v>
      </c>
      <c r="Q15" s="47">
        <f>(N(crises_vs_mcap!CP3)*$B$2+N(crises_vs_mcap!CQ3)*$B$3+N(crises_vs_mcap!CR3)*$B$4+N(crises_vs_mcap!CS3)*$B$5+N(crises_vs_mcap!CT3)*$B$6+N(crises_vs_mcap!CU3)*$B$7)/(ISNUMBER(crises_vs_mcap!CP3)*$B$2+ISNUMBER(crises_vs_mcap!CQ3)*$B$3+ISNUMBER(crises_vs_mcap!CR3)*$B$4+ISNUMBER(crises_vs_mcap!CS3)*$B$5+ISNUMBER(crises_vs_mcap!CT3)*$B$6+ISNUMBER(crises_vs_mcap!CU3)*$B$7)</f>
        <v>26.6</v>
      </c>
      <c r="R15" s="42">
        <f>SUM(crises_vs_mcap!CV3*$B$2+crises_vs_mcap!CW3*$B$3+crises_vs_mcap!CX3*$B$4+crises_vs_mcap!CY3*$B$5+crises_vs_mcap!CZ3*$B$6+crises_vs_mcap!DA3*$B$7)</f>
        <v>-4.1159272166251828E-2</v>
      </c>
    </row>
    <row r="16" spans="1:18" x14ac:dyDescent="0.3">
      <c r="A16" s="39" t="s">
        <v>14</v>
      </c>
      <c r="B16" s="40" t="s">
        <v>15</v>
      </c>
      <c r="C16" s="40" t="s">
        <v>2</v>
      </c>
      <c r="D16" s="40" t="s">
        <v>3</v>
      </c>
      <c r="E16" s="40" t="s">
        <v>4</v>
      </c>
      <c r="F16" s="40" t="s">
        <v>15</v>
      </c>
      <c r="G16" s="44">
        <f>SUM(crises_vs_mcap!J4*$B$2+crises_vs_mcap!K4*$B$3+crises_vs_mcap!L4*$B$4+crises_vs_mcap!M4*$B$5+crises_vs_mcap!N4*$B$6+crises_vs_mcap!O4*$B$7)</f>
        <v>9.6665158877860379E-3</v>
      </c>
      <c r="H16" s="44">
        <f>SUM(crises_vs_mcap!P4*$B$2+crises_vs_mcap!Q4*$B$3+crises_vs_mcap!R4*$B$4+crises_vs_mcap!S4*$B$5+crises_vs_mcap!T4*$B$6+crises_vs_mcap!U4*$B$7)</f>
        <v>8.537704967260697E-3</v>
      </c>
      <c r="I16" s="44">
        <f>SUM(crises_vs_mcap!AB4*$B$2+crises_vs_mcap!AC4*$B$3+crises_vs_mcap!AD4*$B$4+crises_vs_mcap!AE4*$B$5+crises_vs_mcap!AF4*$B$6+crises_vs_mcap!AG4*$B$7)</f>
        <v>9.7933186582448411E-3</v>
      </c>
      <c r="J16" s="45">
        <f>(N(crises_vs_mcap!AH4)*$B$2+N(crises_vs_mcap!AI4)*$B$3+N(crises_vs_mcap!AJ4)*$B$4+N(crises_vs_mcap!AK4)*$B$5+N(crises_vs_mcap!AL4)*$B$6+N(crises_vs_mcap!AM4)*$B$7)
/(ISNUMBER(crises_vs_mcap!AH4)*$B$2+ISNUMBER(crises_vs_mcap!AI4)*$B$3+ISNUMBER(crises_vs_mcap!AJ4)*$B$4+ISNUMBER(crises_vs_mcap!AK4)*$B$5+ISNUMBER(crises_vs_mcap!AL4)*$B$6+ISNUMBER(crises_vs_mcap!AM4)*$B$7)</f>
        <v>-82</v>
      </c>
      <c r="K16" s="42">
        <f>SUM(crises_vs_mcap!AZ4*$B$2+crises_vs_mcap!BA4*$B$3+crises_vs_mcap!BB4*$B$4+crises_vs_mcap!BC4*$B$5+crises_vs_mcap!BD4*$B$6+crises_vs_mcap!BE4*$B$7)</f>
        <v>1.6740791455236192E-3</v>
      </c>
      <c r="L16" s="42">
        <f>SUM(crises_vs_mcap!BL4*$B$2+crises_vs_mcap!BM4*$B$3+crises_vs_mcap!BN4*$B$4+crises_vs_mcap!BO4*$B$5+crises_vs_mcap!BP4*$B$6+crises_vs_mcap!BQ4*$B$7)</f>
        <v>1.3410216694466851E-2</v>
      </c>
      <c r="M16" s="42">
        <f>SUM(crises_vs_mcap!BR4*$B$2+crises_vs_mcap!BS4*$B$3+crises_vs_mcap!BT4*$B$4+crises_vs_mcap!BU4*$B$5+crises_vs_mcap!BV4*$B$6+crises_vs_mcap!BW4*$B$7)</f>
        <v>6.8174984021605687E-3</v>
      </c>
      <c r="N16" s="46">
        <f>SUM(crises_vs_mcap!BX4*$B$2+crises_vs_mcap!BY4*$B$3+crises_vs_mcap!BZ4*$B$4+crises_vs_mcap!CA4*$B$5+crises_vs_mcap!CB4*$B$6+crises_vs_mcap!CC4*$B$7)</f>
        <v>-0.33339999999999997</v>
      </c>
      <c r="O16" s="42">
        <f>SUM(crises_vs_mcap!CD4*$B$2+crises_vs_mcap!CE4*$B$3+crises_vs_mcap!CF4*$B$4+crises_vs_mcap!CG4*$B$5+crises_vs_mcap!CH4*$B$6+crises_vs_mcap!CI4*$B$7)</f>
        <v>-3.8813381032258461E-3</v>
      </c>
      <c r="P16" s="42">
        <f>SUM(crises_vs_mcap!CJ4*$B$2+crises_vs_mcap!CK4*$B$3+crises_vs_mcap!CL4*$B$4+crises_vs_mcap!CM4*$B$5+crises_vs_mcap!CN4*$B$6+crises_vs_mcap!CO4*$B$7)</f>
        <v>9.1332807459671636E-3</v>
      </c>
      <c r="Q16" s="47">
        <f>(N(crises_vs_mcap!CP4)*$B$2+N(crises_vs_mcap!CQ4)*$B$3+N(crises_vs_mcap!CR4)*$B$4+N(crises_vs_mcap!CS4)*$B$5+N(crises_vs_mcap!CT4)*$B$6+N(crises_vs_mcap!CU4)*$B$7)/(ISNUMBER(crises_vs_mcap!CP4)*$B$2+ISNUMBER(crises_vs_mcap!CQ4)*$B$3+ISNUMBER(crises_vs_mcap!CR4)*$B$4+ISNUMBER(crises_vs_mcap!CS4)*$B$5+ISNUMBER(crises_vs_mcap!CT4)*$B$6+ISNUMBER(crises_vs_mcap!CU4)*$B$7)</f>
        <v>-81.600000000000009</v>
      </c>
      <c r="R16" s="42">
        <f>SUM(crises_vs_mcap!CV4*$B$2+crises_vs_mcap!CW4*$B$3+crises_vs_mcap!CX4*$B$4+crises_vs_mcap!CY4*$B$5+crises_vs_mcap!CZ4*$B$6+crises_vs_mcap!DA4*$B$7)</f>
        <v>-1.7203457568368573E-2</v>
      </c>
    </row>
    <row r="17" spans="1:18" x14ac:dyDescent="0.3">
      <c r="A17" s="37" t="s">
        <v>0</v>
      </c>
      <c r="B17" s="38" t="s">
        <v>1</v>
      </c>
      <c r="C17" s="38" t="s">
        <v>2</v>
      </c>
      <c r="D17" s="38" t="s">
        <v>3</v>
      </c>
      <c r="E17" s="38" t="s">
        <v>4</v>
      </c>
      <c r="F17" s="38" t="s">
        <v>1</v>
      </c>
      <c r="G17" s="44">
        <f>SUM(crises_vs_mcap!J5*$B$2+crises_vs_mcap!K5*$B$3+crises_vs_mcap!L5*$B$4+crises_vs_mcap!M5*$B$5+crises_vs_mcap!N5*$B$6+crises_vs_mcap!O5*$B$7)</f>
        <v>8.0705333910613603E-2</v>
      </c>
      <c r="H17" s="44">
        <f>SUM(crises_vs_mcap!P5*$B$2+crises_vs_mcap!Q5*$B$3+crises_vs_mcap!R5*$B$4+crises_vs_mcap!S5*$B$5+crises_vs_mcap!T5*$B$6+crises_vs_mcap!U5*$B$7)</f>
        <v>6.6932688504840854E-2</v>
      </c>
      <c r="I17" s="44">
        <f>SUM(crises_vs_mcap!AB5*$B$2+crises_vs_mcap!AC5*$B$3+crises_vs_mcap!AD5*$B$4+crises_vs_mcap!AE5*$B$5+crises_vs_mcap!AF5*$B$6+crises_vs_mcap!AG5*$B$7)</f>
        <v>7.2814289963112913E-2</v>
      </c>
      <c r="J17" s="45">
        <f>(N(crises_vs_mcap!AH5)*$B$2+N(crises_vs_mcap!AI5)*$B$3+N(crises_vs_mcap!AJ5)*$B$4+N(crises_vs_mcap!AK5)*$B$5+N(crises_vs_mcap!AL5)*$B$6+N(crises_vs_mcap!AM5)*$B$7)
/(ISNUMBER(crises_vs_mcap!AH5)*$B$2+ISNUMBER(crises_vs_mcap!AI5)*$B$3+ISNUMBER(crises_vs_mcap!AJ5)*$B$4+ISNUMBER(crises_vs_mcap!AK5)*$B$5+ISNUMBER(crises_vs_mcap!AL5)*$B$6+ISNUMBER(crises_vs_mcap!AM5)*$B$7)</f>
        <v>-30.000000000000007</v>
      </c>
      <c r="K17" s="42">
        <f>SUM(crises_vs_mcap!AZ5*$B$2+crises_vs_mcap!BA5*$B$3+crises_vs_mcap!BB5*$B$4+crises_vs_mcap!BC5*$B$5+crises_vs_mcap!BD5*$B$6+crises_vs_mcap!BE5*$B$7)</f>
        <v>-4.7013321620927084E-2</v>
      </c>
      <c r="L17" s="42">
        <f>SUM(crises_vs_mcap!BL5*$B$2+crises_vs_mcap!BM5*$B$3+crises_vs_mcap!BN5*$B$4+crises_vs_mcap!BO5*$B$5+crises_vs_mcap!BP5*$B$6+crises_vs_mcap!BQ5*$B$7)</f>
        <v>0.12407228554896313</v>
      </c>
      <c r="M17" s="42">
        <f>SUM(crises_vs_mcap!BR5*$B$2+crises_vs_mcap!BS5*$B$3+crises_vs_mcap!BT5*$B$4+crises_vs_mcap!BU5*$B$5+crises_vs_mcap!BV5*$B$6+crises_vs_mcap!BW5*$B$7)</f>
        <v>6.4577295087376876E-2</v>
      </c>
      <c r="N17" s="46">
        <f>SUM(crises_vs_mcap!BX5*$B$2+crises_vs_mcap!BY5*$B$3+crises_vs_mcap!BZ5*$B$4+crises_vs_mcap!CA5*$B$5+crises_vs_mcap!CB5*$B$6+crises_vs_mcap!CC5*$B$7)</f>
        <v>-9.6685999999999996</v>
      </c>
      <c r="O17" s="42">
        <f>SUM(crises_vs_mcap!CD5*$B$2+crises_vs_mcap!CE5*$B$3+crises_vs_mcap!CF5*$B$4+crises_vs_mcap!CG5*$B$5+crises_vs_mcap!CH5*$B$6+crises_vs_mcap!CI5*$B$7)</f>
        <v>-4.2626221880962122E-2</v>
      </c>
      <c r="P17" s="42">
        <f>SUM(crises_vs_mcap!CJ5*$B$2+crises_vs_mcap!CK5*$B$3+crises_vs_mcap!CL5*$B$4+crises_vs_mcap!CM5*$B$5+crises_vs_mcap!CN5*$B$6+crises_vs_mcap!CO5*$B$7)</f>
        <v>1.5737387805955693E-2</v>
      </c>
      <c r="Q17" s="47">
        <f>(N(crises_vs_mcap!CP5)*$B$2+N(crises_vs_mcap!CQ5)*$B$3+N(crises_vs_mcap!CR5)*$B$4+N(crises_vs_mcap!CS5)*$B$5+N(crises_vs_mcap!CT5)*$B$6+N(crises_vs_mcap!CU5)*$B$7)/(ISNUMBER(crises_vs_mcap!CP5)*$B$2+ISNUMBER(crises_vs_mcap!CQ5)*$B$3+ISNUMBER(crises_vs_mcap!CR5)*$B$4+ISNUMBER(crises_vs_mcap!CS5)*$B$5+ISNUMBER(crises_vs_mcap!CT5)*$B$6+ISNUMBER(crises_vs_mcap!CU5)*$B$7)</f>
        <v>-18.400000000000002</v>
      </c>
      <c r="R17" s="42">
        <f>SUM(crises_vs_mcap!CV5*$B$2+crises_vs_mcap!CW5*$B$3+crises_vs_mcap!CX5*$B$4+crises_vs_mcap!CY5*$B$5+crises_vs_mcap!CZ5*$B$6+crises_vs_mcap!DA5*$B$7)</f>
        <v>-0.17173291809293476</v>
      </c>
    </row>
    <row r="18" spans="1:18" x14ac:dyDescent="0.3">
      <c r="A18" s="39" t="s">
        <v>21</v>
      </c>
      <c r="B18" s="40" t="s">
        <v>22</v>
      </c>
      <c r="C18" s="40" t="s">
        <v>2</v>
      </c>
      <c r="D18" s="40" t="s">
        <v>3</v>
      </c>
      <c r="E18" s="40" t="s">
        <v>4</v>
      </c>
      <c r="F18" s="40" t="s">
        <v>22</v>
      </c>
      <c r="G18" s="44">
        <f>SUM(crises_vs_mcap!J6*$B$2+crises_vs_mcap!K6*$B$3+crises_vs_mcap!L6*$B$4+crises_vs_mcap!M6*$B$5+crises_vs_mcap!N6*$B$6+crises_vs_mcap!O6*$B$7)</f>
        <v>3.0773390145746916E-2</v>
      </c>
      <c r="H18" s="44">
        <f>SUM(crises_vs_mcap!P6*$B$2+crises_vs_mcap!Q6*$B$3+crises_vs_mcap!R6*$B$4+crises_vs_mcap!S6*$B$5+crises_vs_mcap!T6*$B$6+crises_vs_mcap!U6*$B$7)</f>
        <v>1.433550597849431E-3</v>
      </c>
      <c r="I18" s="44">
        <f>SUM(crises_vs_mcap!AB6*$B$2+crises_vs_mcap!AC6*$B$3+crises_vs_mcap!AD6*$B$4+crises_vs_mcap!AE6*$B$5+crises_vs_mcap!AF6*$B$6+crises_vs_mcap!AG6*$B$7)</f>
        <v>2.9887508678269311E-3</v>
      </c>
      <c r="J18" s="45">
        <f>(N(crises_vs_mcap!AH6)*$B$2+N(crises_vs_mcap!AI6)*$B$3+N(crises_vs_mcap!AJ6)*$B$4+N(crises_vs_mcap!AK6)*$B$5+N(crises_vs_mcap!AL6)*$B$6+N(crises_vs_mcap!AM6)*$B$7)
/(ISNUMBER(crises_vs_mcap!AH6)*$B$2+ISNUMBER(crises_vs_mcap!AI6)*$B$3+ISNUMBER(crises_vs_mcap!AJ6)*$B$4+ISNUMBER(crises_vs_mcap!AK6)*$B$5+ISNUMBER(crises_vs_mcap!AL6)*$B$6+ISNUMBER(crises_vs_mcap!AM6)*$B$7)</f>
        <v>22.4</v>
      </c>
      <c r="K18" s="42">
        <f>SUM(crises_vs_mcap!AZ6*$B$2+crises_vs_mcap!BA6*$B$3+crises_vs_mcap!BB6*$B$4+crises_vs_mcap!BC6*$B$5+crises_vs_mcap!BD6*$B$6+crises_vs_mcap!BE6*$B$7)</f>
        <v>-1.7010606926889937E-2</v>
      </c>
      <c r="L18" s="42">
        <f>SUM(crises_vs_mcap!BL6*$B$2+crises_vs_mcap!BM6*$B$3+crises_vs_mcap!BN6*$B$4+crises_vs_mcap!BO6*$B$5+crises_vs_mcap!BP6*$B$6+crises_vs_mcap!BQ6*$B$7)</f>
        <v>-6.2112048659140745E-3</v>
      </c>
      <c r="M18" s="42">
        <f>SUM(crises_vs_mcap!BR6*$B$2+crises_vs_mcap!BS6*$B$3+crises_vs_mcap!BT6*$B$4+crises_vs_mcap!BU6*$B$5+crises_vs_mcap!BV6*$B$6+crises_vs_mcap!BW6*$B$7)</f>
        <v>-8.5195852695892863E-4</v>
      </c>
      <c r="N18" s="46">
        <f>SUM(crises_vs_mcap!BX6*$B$2+crises_vs_mcap!BY6*$B$3+crises_vs_mcap!BZ6*$B$4+crises_vs_mcap!CA6*$B$5+crises_vs_mcap!CB6*$B$6+crises_vs_mcap!CC6*$B$7)</f>
        <v>-0.50009999999999799</v>
      </c>
      <c r="O18" s="42">
        <f>SUM(crises_vs_mcap!CD6*$B$2+crises_vs_mcap!CE6*$B$3+crises_vs_mcap!CF6*$B$4+crises_vs_mcap!CG6*$B$5+crises_vs_mcap!CH6*$B$6+crises_vs_mcap!CI6*$B$7)</f>
        <v>4.144651648457285E-2</v>
      </c>
      <c r="P18" s="42">
        <f>SUM(crises_vs_mcap!CJ6*$B$2+crises_vs_mcap!CK6*$B$3+crises_vs_mcap!CL6*$B$4+crises_vs_mcap!CM6*$B$5+crises_vs_mcap!CN6*$B$6+crises_vs_mcap!CO6*$B$7)</f>
        <v>-1.4669190056369675E-2</v>
      </c>
      <c r="Q18" s="47">
        <f>(N(crises_vs_mcap!CP6)*$B$2+N(crises_vs_mcap!CQ6)*$B$3+N(crises_vs_mcap!CR6)*$B$4+N(crises_vs_mcap!CS6)*$B$5+N(crises_vs_mcap!CT6)*$B$6+N(crises_vs_mcap!CU6)*$B$7)/(ISNUMBER(crises_vs_mcap!CP6)*$B$2+ISNUMBER(crises_vs_mcap!CQ6)*$B$3+ISNUMBER(crises_vs_mcap!CR6)*$B$4+ISNUMBER(crises_vs_mcap!CS6)*$B$5+ISNUMBER(crises_vs_mcap!CT6)*$B$6+ISNUMBER(crises_vs_mcap!CU6)*$B$7)</f>
        <v>34.000000000000007</v>
      </c>
      <c r="R18" s="42">
        <f>SUM(crises_vs_mcap!CV6*$B$2+crises_vs_mcap!CW6*$B$3+crises_vs_mcap!CX6*$B$4+crises_vs_mcap!CY6*$B$5+crises_vs_mcap!CZ6*$B$6+crises_vs_mcap!DA6*$B$7)</f>
        <v>3.7765562065395747E-2</v>
      </c>
    </row>
    <row r="19" spans="1:18" x14ac:dyDescent="0.3">
      <c r="A19" s="37" t="s">
        <v>19</v>
      </c>
      <c r="B19" s="38" t="s">
        <v>20</v>
      </c>
      <c r="C19" s="38" t="s">
        <v>2</v>
      </c>
      <c r="D19" s="38" t="s">
        <v>3</v>
      </c>
      <c r="E19" s="38" t="s">
        <v>4</v>
      </c>
      <c r="F19" s="38" t="s">
        <v>20</v>
      </c>
      <c r="G19" s="44">
        <f>SUM(crises_vs_mcap!J7*$B$2+crises_vs_mcap!K7*$B$3+crises_vs_mcap!L7*$B$4+crises_vs_mcap!M7*$B$5+crises_vs_mcap!N7*$B$6+crises_vs_mcap!O7*$B$7)</f>
        <v>3.7020699970346162E-2</v>
      </c>
      <c r="H19" s="44">
        <f>SUM(crises_vs_mcap!P7*$B$2+crises_vs_mcap!Q7*$B$3+crises_vs_mcap!R7*$B$4+crises_vs_mcap!S7*$B$5+crises_vs_mcap!T7*$B$6+crises_vs_mcap!U7*$B$7)</f>
        <v>-4.4392949573816348E-3</v>
      </c>
      <c r="I19" s="44">
        <f>SUM(crises_vs_mcap!AB7*$B$2+crises_vs_mcap!AC7*$B$3+crises_vs_mcap!AD7*$B$4+crises_vs_mcap!AE7*$B$5+crises_vs_mcap!AF7*$B$6+crises_vs_mcap!AG7*$B$7)</f>
        <v>-2.2929846970834262E-3</v>
      </c>
      <c r="J19" s="45">
        <f>(N(crises_vs_mcap!AH7)*$B$2+N(crises_vs_mcap!AI7)*$B$3+N(crises_vs_mcap!AJ7)*$B$4+N(crises_vs_mcap!AK7)*$B$5+N(crises_vs_mcap!AL7)*$B$6+N(crises_vs_mcap!AM7)*$B$7)
/(ISNUMBER(crises_vs_mcap!AH7)*$B$2+ISNUMBER(crises_vs_mcap!AI7)*$B$3+ISNUMBER(crises_vs_mcap!AJ7)*$B$4+ISNUMBER(crises_vs_mcap!AK7)*$B$5+ISNUMBER(crises_vs_mcap!AL7)*$B$6+ISNUMBER(crises_vs_mcap!AM7)*$B$7)</f>
        <v>32.799999999999997</v>
      </c>
      <c r="K19" s="42">
        <f>SUM(crises_vs_mcap!AZ7*$B$2+crises_vs_mcap!BA7*$B$3+crises_vs_mcap!BB7*$B$4+crises_vs_mcap!BC7*$B$5+crises_vs_mcap!BD7*$B$6+crises_vs_mcap!BE7*$B$7)</f>
        <v>-1.3379307466313453E-2</v>
      </c>
      <c r="L19" s="42">
        <f>SUM(crises_vs_mcap!BL7*$B$2+crises_vs_mcap!BM7*$B$3+crises_vs_mcap!BN7*$B$4+crises_vs_mcap!BO7*$B$5+crises_vs_mcap!BP7*$B$6+crises_vs_mcap!BQ7*$B$7)</f>
        <v>-1.2910782645325065E-2</v>
      </c>
      <c r="M19" s="42">
        <f>SUM(crises_vs_mcap!BR7*$B$2+crises_vs_mcap!BS7*$B$3+crises_vs_mcap!BT7*$B$4+crises_vs_mcap!BU7*$B$5+crises_vs_mcap!BV7*$B$6+crises_vs_mcap!BW7*$B$7)</f>
        <v>-6.6408808918708593E-3</v>
      </c>
      <c r="N19" s="46">
        <f>SUM(crises_vs_mcap!BX7*$B$2+crises_vs_mcap!BY7*$B$3+crises_vs_mcap!BZ7*$B$4+crises_vs_mcap!CA7*$B$5+crises_vs_mcap!CB7*$B$6+crises_vs_mcap!CC7*$B$7)</f>
        <v>-0.50009999999999799</v>
      </c>
      <c r="O19" s="42">
        <f>SUM(crises_vs_mcap!CD7*$B$2+crises_vs_mcap!CE7*$B$3+crises_vs_mcap!CF7*$B$4+crises_vs_mcap!CG7*$B$5+crises_vs_mcap!CH7*$B$6+crises_vs_mcap!CI7*$B$7)</f>
        <v>5.0657505672570879E-2</v>
      </c>
      <c r="P19" s="42">
        <f>SUM(crises_vs_mcap!CJ7*$B$2+crises_vs_mcap!CK7*$B$3+crises_vs_mcap!CL7*$B$4+crises_vs_mcap!CM7*$B$5+crises_vs_mcap!CN7*$B$6+crises_vs_mcap!CO7*$B$7)</f>
        <v>-1.6343604032921948E-2</v>
      </c>
      <c r="Q19" s="47">
        <f>(N(crises_vs_mcap!CP7)*$B$2+N(crises_vs_mcap!CQ7)*$B$3+N(crises_vs_mcap!CR7)*$B$4+N(crises_vs_mcap!CS7)*$B$5+N(crises_vs_mcap!CT7)*$B$6+N(crises_vs_mcap!CU7)*$B$7)/(ISNUMBER(crises_vs_mcap!CP7)*$B$2+ISNUMBER(crises_vs_mcap!CQ7)*$B$3+ISNUMBER(crises_vs_mcap!CR7)*$B$4+ISNUMBER(crises_vs_mcap!CS7)*$B$5+ISNUMBER(crises_vs_mcap!CT7)*$B$6+ISNUMBER(crises_vs_mcap!CU7)*$B$7)</f>
        <v>44.4</v>
      </c>
      <c r="R19" s="42">
        <f>SUM(crises_vs_mcap!CV7*$B$2+crises_vs_mcap!CW7*$B$3+crises_vs_mcap!CX7*$B$4+crises_vs_mcap!CY7*$B$5+crises_vs_mcap!CZ7*$B$6+crises_vs_mcap!DA7*$B$7)</f>
        <v>4.5411043375991854E-2</v>
      </c>
    </row>
    <row r="20" spans="1:18" x14ac:dyDescent="0.3">
      <c r="A20" s="39" t="s">
        <v>17</v>
      </c>
      <c r="B20" s="40" t="s">
        <v>18</v>
      </c>
      <c r="C20" s="40" t="s">
        <v>2</v>
      </c>
      <c r="D20" s="40" t="s">
        <v>3</v>
      </c>
      <c r="E20" s="40" t="s">
        <v>4</v>
      </c>
      <c r="F20" s="40" t="s">
        <v>18</v>
      </c>
      <c r="G20" s="44">
        <f>SUM(crises_vs_mcap!J8*$B$2+crises_vs_mcap!K8*$B$3+crises_vs_mcap!L8*$B$4+crises_vs_mcap!M8*$B$5+crises_vs_mcap!N8*$B$6+crises_vs_mcap!O8*$B$7)</f>
        <v>4.39650837928654E-2</v>
      </c>
      <c r="H20" s="44">
        <f>SUM(crises_vs_mcap!P8*$B$2+crises_vs_mcap!Q8*$B$3+crises_vs_mcap!R8*$B$4+crises_vs_mcap!S8*$B$5+crises_vs_mcap!T8*$B$6+crises_vs_mcap!U8*$B$7)</f>
        <v>4.388070272209714E-4</v>
      </c>
      <c r="I20" s="44">
        <f>SUM(crises_vs_mcap!AB8*$B$2+crises_vs_mcap!AC8*$B$3+crises_vs_mcap!AD8*$B$4+crises_vs_mcap!AE8*$B$5+crises_vs_mcap!AF8*$B$6+crises_vs_mcap!AG8*$B$7)</f>
        <v>3.2476532206118175E-3</v>
      </c>
      <c r="J20" s="45">
        <f>(N(crises_vs_mcap!AH8)*$B$2+N(crises_vs_mcap!AI8)*$B$3+N(crises_vs_mcap!AJ8)*$B$4+N(crises_vs_mcap!AK8)*$B$5+N(crises_vs_mcap!AL8)*$B$6+N(crises_vs_mcap!AM8)*$B$7)
/(ISNUMBER(crises_vs_mcap!AH8)*$B$2+ISNUMBER(crises_vs_mcap!AI8)*$B$3+ISNUMBER(crises_vs_mcap!AJ8)*$B$4+ISNUMBER(crises_vs_mcap!AK8)*$B$5+ISNUMBER(crises_vs_mcap!AL8)*$B$6+ISNUMBER(crises_vs_mcap!AM8)*$B$7)</f>
        <v>30.599999999999998</v>
      </c>
      <c r="K20" s="42">
        <f>SUM(crises_vs_mcap!AZ8*$B$2+crises_vs_mcap!BA8*$B$3+crises_vs_mcap!BB8*$B$4+crises_vs_mcap!BC8*$B$5+crises_vs_mcap!BD8*$B$6+crises_vs_mcap!BE8*$B$7)</f>
        <v>-1.4010868851087674E-2</v>
      </c>
      <c r="L20" s="42">
        <f>SUM(crises_vs_mcap!BL8*$B$2+crises_vs_mcap!BM8*$B$3+crises_vs_mcap!BN8*$B$4+crises_vs_mcap!BO8*$B$5+crises_vs_mcap!BP8*$B$6+crises_vs_mcap!BQ8*$B$7)</f>
        <v>-8.4747570722714088E-3</v>
      </c>
      <c r="M20" s="42">
        <f>SUM(crises_vs_mcap!BR8*$B$2+crises_vs_mcap!BS8*$B$3+crises_vs_mcap!BT8*$B$4+crises_vs_mcap!BU8*$B$5+crises_vs_mcap!BV8*$B$6+crises_vs_mcap!BW8*$B$7)</f>
        <v>-1.253433425308972E-3</v>
      </c>
      <c r="N20" s="46">
        <f>SUM(crises_vs_mcap!BX8*$B$2+crises_vs_mcap!BY8*$B$3+crises_vs_mcap!BZ8*$B$4+crises_vs_mcap!CA8*$B$5+crises_vs_mcap!CB8*$B$6+crises_vs_mcap!CC8*$B$7)</f>
        <v>1.8337000000000012</v>
      </c>
      <c r="O20" s="42">
        <f>SUM(crises_vs_mcap!CD8*$B$2+crises_vs_mcap!CE8*$B$3+crises_vs_mcap!CF8*$B$4+crises_vs_mcap!CG8*$B$5+crises_vs_mcap!CH8*$B$6+crises_vs_mcap!CI8*$B$7)</f>
        <v>5.3866956193725099E-2</v>
      </c>
      <c r="P20" s="42">
        <f>SUM(crises_vs_mcap!CJ8*$B$2+crises_vs_mcap!CK8*$B$3+crises_vs_mcap!CL8*$B$4+crises_vs_mcap!CM8*$B$5+crises_vs_mcap!CN8*$B$6+crises_vs_mcap!CO8*$B$7)</f>
        <v>-1.5008818145906181E-2</v>
      </c>
      <c r="Q20" s="47">
        <f>(N(crises_vs_mcap!CP8)*$B$2+N(crises_vs_mcap!CQ8)*$B$3+N(crises_vs_mcap!CR8)*$B$4+N(crises_vs_mcap!CS8)*$B$5+N(crises_vs_mcap!CT8)*$B$6+N(crises_vs_mcap!CU8)*$B$7)/(ISNUMBER(crises_vs_mcap!CP8)*$B$2+ISNUMBER(crises_vs_mcap!CQ8)*$B$3+ISNUMBER(crises_vs_mcap!CR8)*$B$4+ISNUMBER(crises_vs_mcap!CS8)*$B$5+ISNUMBER(crises_vs_mcap!CT8)*$B$6+ISNUMBER(crises_vs_mcap!CU8)*$B$7)</f>
        <v>39.400000000000013</v>
      </c>
      <c r="R20" s="42">
        <f>SUM(crises_vs_mcap!CV8*$B$2+crises_vs_mcap!CW8*$B$3+crises_vs_mcap!CX8*$B$4+crises_vs_mcap!CY8*$B$5+crises_vs_mcap!CZ8*$B$6+crises_vs_mcap!DA8*$B$7)</f>
        <v>4.2983652566269848E-2</v>
      </c>
    </row>
    <row r="22" spans="1:18" x14ac:dyDescent="0.3">
      <c r="J22" t="s">
        <v>150</v>
      </c>
      <c r="Q22" t="s">
        <v>150</v>
      </c>
    </row>
    <row r="23" spans="1:18" x14ac:dyDescent="0.3">
      <c r="A23" s="43" t="s">
        <v>161</v>
      </c>
    </row>
    <row r="24" spans="1:18" x14ac:dyDescent="0.3">
      <c r="A24" s="43" t="s">
        <v>162</v>
      </c>
    </row>
    <row r="25" spans="1:18" x14ac:dyDescent="0.3">
      <c r="A25" s="36" t="s">
        <v>23</v>
      </c>
      <c r="B25" s="36" t="s">
        <v>24</v>
      </c>
      <c r="C25" s="36" t="s">
        <v>25</v>
      </c>
      <c r="D25" s="36" t="s">
        <v>26</v>
      </c>
      <c r="E25" s="36" t="s">
        <v>27</v>
      </c>
      <c r="F25" s="36" t="s">
        <v>30</v>
      </c>
      <c r="G25" s="41" t="s">
        <v>176</v>
      </c>
      <c r="H25" s="41" t="s">
        <v>179</v>
      </c>
      <c r="I25" s="41" t="s">
        <v>209</v>
      </c>
      <c r="J25" s="41" t="s">
        <v>182</v>
      </c>
      <c r="K25" s="41" t="s">
        <v>185</v>
      </c>
      <c r="L25" s="41" t="s">
        <v>188</v>
      </c>
      <c r="M25" s="41" t="s">
        <v>191</v>
      </c>
      <c r="N25" s="41" t="s">
        <v>192</v>
      </c>
      <c r="O25" s="41" t="s">
        <v>193</v>
      </c>
      <c r="P25" s="41" t="s">
        <v>194</v>
      </c>
      <c r="Q25" s="41" t="s">
        <v>195</v>
      </c>
      <c r="R25" s="41" t="s">
        <v>196</v>
      </c>
    </row>
    <row r="26" spans="1:18" x14ac:dyDescent="0.3">
      <c r="A26" s="33" t="s">
        <v>8</v>
      </c>
      <c r="B26" s="34" t="s">
        <v>9</v>
      </c>
      <c r="C26" s="34" t="s">
        <v>2</v>
      </c>
      <c r="D26" s="34" t="s">
        <v>10</v>
      </c>
      <c r="E26" s="34" t="s">
        <v>4</v>
      </c>
      <c r="F26" s="34"/>
      <c r="G26" s="42">
        <f>SUM(crises_vs_mcap!J2*$C$2+crises_vs_mcap!K2*$C$3+crises_vs_mcap!L2*$C$4+crises_vs_mcap!M2*$C$5+crises_vs_mcap!N2*$C$6+crises_vs_mcap!O2*$C$7)</f>
        <v>0</v>
      </c>
      <c r="H26" s="42">
        <f>SUM(crises_vs_mcap!P2*$C$2+crises_vs_mcap!Q2*$C$3+crises_vs_mcap!R2*$C$4+crises_vs_mcap!S2*$C$5+crises_vs_mcap!T2*$C$6+crises_vs_mcap!U2*$C$7)</f>
        <v>0</v>
      </c>
      <c r="I26" s="44">
        <f>SUM(crises_vs_mcap!AB2*$C$2+crises_vs_mcap!AC2*$C$3+crises_vs_mcap!AD2*$C$4+crises_vs_mcap!AE2*$C$5+crises_vs_mcap!AF2*$C$6+crises_vs_mcap!AG2*$C$7)</f>
        <v>0</v>
      </c>
      <c r="J26" s="45">
        <f>(N(crises_vs_mcap!AH2)*$C$2+N(crises_vs_mcap!AI2)*$C$3+N(crises_vs_mcap!AJ2)*$C$4+N(crises_vs_mcap!AK2)*$C$5+N(crises_vs_mcap!AL2)*$C$6+N(crises_vs_mcap!AM2)*$C$7)/(ISNUMBER(crises_vs_mcap!AH2)*$C$2+ISNUMBER(crises_vs_mcap!AI2)*$C$3+ISNUMBER(crises_vs_mcap!AJ2)*$C$4+ISNUMBER(crises_vs_mcap!AK2)*$C$5+ISNUMBER(crises_vs_mcap!AL2)*$C$6+ISNUMBER(crises_vs_mcap!AM2)*$C$7)</f>
        <v>0</v>
      </c>
      <c r="K26" s="42">
        <f>SUM(crises_vs_mcap!AZ2*$C$2+crises_vs_mcap!BA2*$C$3+crises_vs_mcap!BB2*$C$4+crises_vs_mcap!BC2*$C$5+crises_vs_mcap!BD2*$C$6+crises_vs_mcap!BE2*$B$7)</f>
        <v>0</v>
      </c>
      <c r="L26" s="42">
        <f>SUM(crises_vs_mcap!BL2*$C$2+crises_vs_mcap!BM2*$C$3+crises_vs_mcap!BN2*$C$4+crises_vs_mcap!BO2*$C$5+crises_vs_mcap!BP2*$C$6+crises_vs_mcap!BQ2*$C$7)</f>
        <v>0</v>
      </c>
      <c r="M26" s="42">
        <f>SUM(crises_vs_mcap!BR2*$C$2+crises_vs_mcap!BS2*$C$3+crises_vs_mcap!BT2*$C$4+crises_vs_mcap!BU2*$C$5+crises_vs_mcap!BV2*$C$6+crises_vs_mcap!BW2*$C$7)</f>
        <v>0</v>
      </c>
      <c r="N26" s="46">
        <f>SUM(crises_vs_mcap!BX2*$C$2+crises_vs_mcap!BY2*$C$3+crises_vs_mcap!BZ2*$C$4+crises_vs_mcap!CA2*$C$5+crises_vs_mcap!CB2*$C$6+crises_vs_mcap!CC2*$C$7)</f>
        <v>0</v>
      </c>
      <c r="O26" s="42">
        <f>SUM(crises_vs_mcap!CD2*$C$2+crises_vs_mcap!CE2*$C$3+crises_vs_mcap!CF2*$C$4+crises_vs_mcap!CG2*$C$5+crises_vs_mcap!CH2*$C$6+crises_vs_mcap!CI2*$C$7)</f>
        <v>0</v>
      </c>
      <c r="P26" s="42">
        <f>SUM(crises_vs_mcap!CJ2*$C$2+crises_vs_mcap!CK2*$C$3+crises_vs_mcap!CL2*$C$4+crises_vs_mcap!CM2*$C$5+crises_vs_mcap!CN2*$C$6+crises_vs_mcap!CO2*$C$7)</f>
        <v>0</v>
      </c>
      <c r="Q26" s="47">
        <f>(N(crises_vs_mcap!CP2)*$C$2+N(crises_vs_mcap!CQ2)*$C$3+N(crises_vs_mcap!CR2)*$C$4+N(crises_vs_mcap!CS2)*$C$5+N(crises_vs_mcap!CT2)*$C$6+N(crises_vs_mcap!CU2)*$C$7)/(ISNUMBER(crises_vs_mcap!CP2)*$C$2+ISNUMBER(crises_vs_mcap!CQ2)*$C$3+ISNUMBER(crises_vs_mcap!CR2)*$C$4+ISNUMBER(crises_vs_mcap!CS2)*$C$5+ISNUMBER(crises_vs_mcap!CT2)*$C$6+ISNUMBER(crises_vs_mcap!CU2)*$C$7)</f>
        <v>0</v>
      </c>
      <c r="R26" s="42">
        <f>SUM(crises_vs_mcap!CV2*$C$2+crises_vs_mcap!CW2*$C$3+crises_vs_mcap!CX2*$C$4+crises_vs_mcap!CY2*$C$5+crises_vs_mcap!CZ2*$C$6+crises_vs_mcap!DA2*$C$7)</f>
        <v>0</v>
      </c>
    </row>
    <row r="27" spans="1:18" x14ac:dyDescent="0.3">
      <c r="A27" s="37" t="s">
        <v>11</v>
      </c>
      <c r="B27" s="38" t="s">
        <v>12</v>
      </c>
      <c r="C27" s="38" t="s">
        <v>2</v>
      </c>
      <c r="D27" s="38" t="s">
        <v>3</v>
      </c>
      <c r="E27" s="38" t="s">
        <v>4</v>
      </c>
      <c r="F27" s="38" t="s">
        <v>12</v>
      </c>
      <c r="G27" s="42">
        <f>SUM(crises_vs_mcap!J3*$C$2+crises_vs_mcap!K3*$C$3+crises_vs_mcap!L3*$C$4+crises_vs_mcap!M3*$C$5+crises_vs_mcap!N3*$C$6+crises_vs_mcap!O3*$C$7)</f>
        <v>4.2692105502281918E-2</v>
      </c>
      <c r="H27" s="42">
        <f>SUM(crises_vs_mcap!P3*$C$2+crises_vs_mcap!Q3*$C$3+crises_vs_mcap!R3*$C$4+crises_vs_mcap!S3*$C$5+crises_vs_mcap!T3*$C$6+crises_vs_mcap!U3*$C$7)</f>
        <v>1.5989393134114252E-2</v>
      </c>
      <c r="I27" s="44">
        <f>SUM(crises_vs_mcap!AB3*$C$2+crises_vs_mcap!AC3*$C$3+crises_vs_mcap!AD3*$C$4+crises_vs_mcap!AE3*$C$5+crises_vs_mcap!AF3*$C$6+crises_vs_mcap!AG3*$C$7)</f>
        <v>2.00726730404482E-2</v>
      </c>
      <c r="J27" s="45">
        <f>(N(crises_vs_mcap!AH3)*$C$2+N(crises_vs_mcap!AI3)*$C$3+N(crises_vs_mcap!AJ3)*$C$4+N(crises_vs_mcap!AK3)*$C$5+N(crises_vs_mcap!AL3)*$C$6+N(crises_vs_mcap!AM3)*$C$7)/(ISNUMBER(crises_vs_mcap!AH3)*$C$2+ISNUMBER(crises_vs_mcap!AI3)*$C$3+ISNUMBER(crises_vs_mcap!AJ3)*$C$4+ISNUMBER(crises_vs_mcap!AK3)*$C$5+ISNUMBER(crises_vs_mcap!AL3)*$C$6+ISNUMBER(crises_vs_mcap!AM3)*$C$7)</f>
        <v>42.221373039926199</v>
      </c>
      <c r="K27" s="42">
        <f>SUM(crises_vs_mcap!AZ3*$C$2+crises_vs_mcap!BA3*$C$3+crises_vs_mcap!BB3*$C$4+crises_vs_mcap!BC3*$C$5+crises_vs_mcap!BD3*$C$6+crises_vs_mcap!BE3*$B$7)</f>
        <v>-2.7414330960559941E-2</v>
      </c>
      <c r="L27" s="42">
        <f>SUM(crises_vs_mcap!BL3*$C$2+crises_vs_mcap!BM3*$C$3+crises_vs_mcap!BN3*$C$4+crises_vs_mcap!BO3*$C$5+crises_vs_mcap!BP3*$C$6+crises_vs_mcap!BQ3*$C$7)</f>
        <v>2.5335284992734158E-2</v>
      </c>
      <c r="M27" s="42">
        <f>SUM(crises_vs_mcap!BR3*$C$2+crises_vs_mcap!BS3*$C$3+crises_vs_mcap!BT3*$C$4+crises_vs_mcap!BU3*$C$5+crises_vs_mcap!BV3*$C$6+crises_vs_mcap!BW3*$C$7)</f>
        <v>1.4227440169760571E-2</v>
      </c>
      <c r="N27" s="46">
        <f>SUM(crises_vs_mcap!BX3*$C$2+crises_vs_mcap!BY3*$C$3+crises_vs_mcap!BZ3*$C$4+crises_vs_mcap!CA3*$C$5+crises_vs_mcap!CB3*$C$6+crises_vs_mcap!CC3*$C$7)</f>
        <v>-7.2326000000000006</v>
      </c>
      <c r="O27" s="42">
        <f>SUM(crises_vs_mcap!CD3*$C$2+crises_vs_mcap!CE3*$C$3+crises_vs_mcap!CF3*$C$4+crises_vs_mcap!CG3*$C$5+crises_vs_mcap!CH3*$C$6+crises_vs_mcap!CI3*$C$7)</f>
        <v>1.7744519130099463E-2</v>
      </c>
      <c r="P27" s="42">
        <f>SUM(crises_vs_mcap!CJ3*$C$2+crises_vs_mcap!CK3*$C$3+crises_vs_mcap!CL3*$C$4+crises_vs_mcap!CM3*$C$5+crises_vs_mcap!CN3*$C$6+crises_vs_mcap!CO3*$C$7)</f>
        <v>-3.1332049525213197E-3</v>
      </c>
      <c r="Q27" s="47">
        <f>(N(crises_vs_mcap!CP3)*$C$2+N(crises_vs_mcap!CQ3)*$C$3+N(crises_vs_mcap!CR3)*$C$4+N(crises_vs_mcap!CS3)*$C$5+N(crises_vs_mcap!CT3)*$C$6+N(crises_vs_mcap!CU3)*$C$7)/(ISNUMBER(crises_vs_mcap!CP3)*$C$2+ISNUMBER(crises_vs_mcap!CQ3)*$C$3+ISNUMBER(crises_vs_mcap!CR3)*$C$4+ISNUMBER(crises_vs_mcap!CS3)*$C$5+ISNUMBER(crises_vs_mcap!CT3)*$C$6+ISNUMBER(crises_vs_mcap!CU3)*$C$7)</f>
        <v>51.75174594808275</v>
      </c>
      <c r="R27" s="42">
        <f>SUM(crises_vs_mcap!CV3*$C$2+crises_vs_mcap!CW3*$C$3+crises_vs_mcap!CX3*$C$4+crises_vs_mcap!CY3*$C$5+crises_vs_mcap!CZ3*$C$6+crises_vs_mcap!DA3*$C$7)</f>
        <v>-3.0365978548152699E-2</v>
      </c>
    </row>
    <row r="28" spans="1:18" x14ac:dyDescent="0.3">
      <c r="A28" s="39" t="s">
        <v>14</v>
      </c>
      <c r="B28" s="40" t="s">
        <v>15</v>
      </c>
      <c r="C28" s="40" t="s">
        <v>2</v>
      </c>
      <c r="D28" s="40" t="s">
        <v>3</v>
      </c>
      <c r="E28" s="40" t="s">
        <v>4</v>
      </c>
      <c r="F28" s="40" t="s">
        <v>15</v>
      </c>
      <c r="G28" s="42">
        <f>SUM(crises_vs_mcap!J4*$C$2+crises_vs_mcap!K4*$C$3+crises_vs_mcap!L4*$C$4+crises_vs_mcap!M4*$C$5+crises_vs_mcap!N4*$C$6+crises_vs_mcap!O4*$C$7)</f>
        <v>2.9232964683905023E-2</v>
      </c>
      <c r="H28" s="42">
        <f>SUM(crises_vs_mcap!P4*$C$2+crises_vs_mcap!Q4*$C$3+crises_vs_mcap!R4*$C$4+crises_vs_mcap!S4*$C$5+crises_vs_mcap!T4*$C$6+crises_vs_mcap!U4*$C$7)</f>
        <v>6.8491678745629218E-3</v>
      </c>
      <c r="I28" s="44">
        <f>SUM(crises_vs_mcap!AB4*$C$2+crises_vs_mcap!AC4*$C$3+crises_vs_mcap!AD4*$C$4+crises_vs_mcap!AE4*$C$5+crises_vs_mcap!AF4*$C$6+crises_vs_mcap!AG4*$C$7)</f>
        <v>9.6963522429348512E-3</v>
      </c>
      <c r="J28" s="45">
        <f>(N(crises_vs_mcap!AH4)*$C$2+N(crises_vs_mcap!AI4)*$C$3+N(crises_vs_mcap!AJ4)*$C$4+N(crises_vs_mcap!AK4)*$C$5+N(crises_vs_mcap!AL4)*$C$6+N(crises_vs_mcap!AM4)*$C$7)/(ISNUMBER(crises_vs_mcap!AH4)*$C$2+ISNUMBER(crises_vs_mcap!AI4)*$C$3+ISNUMBER(crises_vs_mcap!AJ4)*$C$4+ISNUMBER(crises_vs_mcap!AK4)*$C$5+ISNUMBER(crises_vs_mcap!AL4)*$C$6+ISNUMBER(crises_vs_mcap!AM4)*$C$7)</f>
        <v>-144.34181051521941</v>
      </c>
      <c r="K28" s="42">
        <f>SUM(crises_vs_mcap!AZ4*$C$2+crises_vs_mcap!BA4*$C$3+crises_vs_mcap!BB4*$C$4+crises_vs_mcap!BC4*$C$5+crises_vs_mcap!BD4*$C$6+crises_vs_mcap!BE4*$B$7)</f>
        <v>2.6449415836386891E-3</v>
      </c>
      <c r="L28" s="42">
        <f>SUM(crises_vs_mcap!BL4*$C$2+crises_vs_mcap!BM4*$C$3+crises_vs_mcap!BN4*$C$4+crises_vs_mcap!BO4*$C$5+crises_vs_mcap!BP4*$C$6+crises_vs_mcap!BQ4*$C$7)</f>
        <v>1.6675300675513847E-2</v>
      </c>
      <c r="M28" s="42">
        <f>SUM(crises_vs_mcap!BR4*$C$2+crises_vs_mcap!BS4*$C$3+crises_vs_mcap!BT4*$C$4+crises_vs_mcap!BU4*$C$5+crises_vs_mcap!BV4*$C$6+crises_vs_mcap!BW4*$C$7)</f>
        <v>5.5623666827933609E-3</v>
      </c>
      <c r="N28" s="46">
        <f>SUM(crises_vs_mcap!BX4*$C$2+crises_vs_mcap!BY4*$C$3+crises_vs_mcap!BZ4*$C$4+crises_vs_mcap!CA4*$C$5+crises_vs_mcap!CB4*$C$6+crises_vs_mcap!CC4*$C$7)</f>
        <v>-0.18540000000000001</v>
      </c>
      <c r="O28" s="42">
        <f>SUM(crises_vs_mcap!CD4*$C$2+crises_vs_mcap!CE4*$C$3+crises_vs_mcap!CF4*$C$4+crises_vs_mcap!CG4*$C$5+crises_vs_mcap!CH4*$C$6+crises_vs_mcap!CI4*$C$7)</f>
        <v>1.1741385524006286E-2</v>
      </c>
      <c r="P28" s="42">
        <f>SUM(crises_vs_mcap!CJ4*$C$2+crises_vs_mcap!CK4*$C$3+crises_vs_mcap!CL4*$C$4+crises_vs_mcap!CM4*$C$5+crises_vs_mcap!CN4*$C$6+crises_vs_mcap!CO4*$C$7)</f>
        <v>9.5953268865664552E-3</v>
      </c>
      <c r="Q28" s="47">
        <f>(N(crises_vs_mcap!CP4)*$C$2+N(crises_vs_mcap!CQ4)*$C$3+N(crises_vs_mcap!CR4)*$C$4+N(crises_vs_mcap!CS4)*$C$5+N(crises_vs_mcap!CT4)*$C$6+N(crises_vs_mcap!CU4)*$C$7)/(ISNUMBER(crises_vs_mcap!CP4)*$C$2+ISNUMBER(crises_vs_mcap!CQ4)*$C$3+ISNUMBER(crises_vs_mcap!CR4)*$C$4+ISNUMBER(crises_vs_mcap!CS4)*$C$5+ISNUMBER(crises_vs_mcap!CT4)*$C$6+ISNUMBER(crises_vs_mcap!CU4)*$C$7)</f>
        <v>-144.09750955330085</v>
      </c>
      <c r="R28" s="42">
        <f>SUM(crises_vs_mcap!CV4*$C$2+crises_vs_mcap!CW4*$C$3+crises_vs_mcap!CX4*$C$4+crises_vs_mcap!CY4*$C$5+crises_vs_mcap!CZ4*$C$6+crises_vs_mcap!DA4*$C$7)</f>
        <v>-2.1460092851417725E-2</v>
      </c>
    </row>
    <row r="29" spans="1:18" x14ac:dyDescent="0.3">
      <c r="A29" s="37" t="s">
        <v>0</v>
      </c>
      <c r="B29" s="38" t="s">
        <v>1</v>
      </c>
      <c r="C29" s="38" t="s">
        <v>2</v>
      </c>
      <c r="D29" s="38" t="s">
        <v>3</v>
      </c>
      <c r="E29" s="38" t="s">
        <v>4</v>
      </c>
      <c r="F29" s="38" t="s">
        <v>1</v>
      </c>
      <c r="G29" s="42">
        <f>SUM(crises_vs_mcap!J5*$C$2+crises_vs_mcap!K5*$C$3+crises_vs_mcap!L5*$C$4+crises_vs_mcap!M5*$C$5+crises_vs_mcap!N5*$C$6+crises_vs_mcap!O5*$C$7)</f>
        <v>0.13876743148413054</v>
      </c>
      <c r="H29" s="42">
        <f>SUM(crises_vs_mcap!P5*$C$2+crises_vs_mcap!Q5*$C$3+crises_vs_mcap!R5*$C$4+crises_vs_mcap!S5*$C$5+crises_vs_mcap!T5*$C$6+crises_vs_mcap!U5*$C$7)</f>
        <v>6.9947225449473266E-2</v>
      </c>
      <c r="I29" s="44">
        <f>SUM(crises_vs_mcap!AB5*$C$2+crises_vs_mcap!AC5*$C$3+crises_vs_mcap!AD5*$C$4+crises_vs_mcap!AE5*$C$5+crises_vs_mcap!AF5*$C$6+crises_vs_mcap!AG5*$C$7)</f>
        <v>7.9031463700604071E-2</v>
      </c>
      <c r="J29" s="45">
        <f>(N(crises_vs_mcap!AH5)*$C$2+N(crises_vs_mcap!AI5)*$C$3+N(crises_vs_mcap!AJ5)*$C$4+N(crises_vs_mcap!AK5)*$C$5+N(crises_vs_mcap!AL5)*$C$6+N(crises_vs_mcap!AM5)*$C$7)/(ISNUMBER(crises_vs_mcap!AH5)*$C$2+ISNUMBER(crises_vs_mcap!AI5)*$C$3+ISNUMBER(crises_vs_mcap!AJ5)*$C$4+ISNUMBER(crises_vs_mcap!AK5)*$C$5+ISNUMBER(crises_vs_mcap!AL5)*$C$6+ISNUMBER(crises_vs_mcap!AM5)*$C$7)</f>
        <v>-53.347608380550788</v>
      </c>
      <c r="K29" s="42">
        <f>SUM(crises_vs_mcap!AZ5*$C$2+crises_vs_mcap!BA5*$C$3+crises_vs_mcap!BB5*$C$4+crises_vs_mcap!BC5*$C$5+crises_vs_mcap!BD5*$C$6+crises_vs_mcap!BE5*$B$7)</f>
        <v>-5.8826080512511869E-2</v>
      </c>
      <c r="L29" s="42">
        <f>SUM(crises_vs_mcap!BL5*$C$2+crises_vs_mcap!BM5*$C$3+crises_vs_mcap!BN5*$C$4+crises_vs_mcap!BO5*$C$5+crises_vs_mcap!BP5*$C$6+crises_vs_mcap!BQ5*$C$7)</f>
        <v>0.14802760059878567</v>
      </c>
      <c r="M29" s="42">
        <f>SUM(crises_vs_mcap!BR5*$C$2+crises_vs_mcap!BS5*$C$3+crises_vs_mcap!BT5*$C$4+crises_vs_mcap!BU5*$C$5+crises_vs_mcap!BV5*$C$6+crises_vs_mcap!BW5*$C$7)</f>
        <v>6.8185272485119588E-2</v>
      </c>
      <c r="N29" s="46">
        <f>SUM(crises_vs_mcap!BX5*$C$2+crises_vs_mcap!BY5*$C$3+crises_vs_mcap!BZ5*$C$4+crises_vs_mcap!CA5*$C$5+crises_vs_mcap!CB5*$C$6+crises_vs_mcap!CC5*$C$7)</f>
        <v>-7.2326000000000006</v>
      </c>
      <c r="O29" s="42">
        <f>SUM(crises_vs_mcap!CD5*$C$2+crises_vs_mcap!CE5*$C$3+crises_vs_mcap!CF5*$C$4+crises_vs_mcap!CG5*$C$5+crises_vs_mcap!CH5*$C$6+crises_vs_mcap!CI5*$C$7)</f>
        <v>-1.2074264511617982E-2</v>
      </c>
      <c r="P29" s="42">
        <f>SUM(crises_vs_mcap!CJ5*$C$2+crises_vs_mcap!CK5*$C$3+crises_vs_mcap!CL5*$C$4+crises_vs_mcap!CM5*$C$5+crises_vs_mcap!CN5*$C$6+crises_vs_mcap!CO5*$C$7)</f>
        <v>1.6532667842784479E-2</v>
      </c>
      <c r="Q29" s="47">
        <f>(N(crises_vs_mcap!CP5)*$C$2+N(crises_vs_mcap!CQ5)*$C$3+N(crises_vs_mcap!CR5)*$C$4+N(crises_vs_mcap!CS5)*$C$5+N(crises_vs_mcap!CT5)*$C$6+N(crises_vs_mcap!CU5)*$C$7)/(ISNUMBER(crises_vs_mcap!CP5)*$C$2+ISNUMBER(crises_vs_mcap!CQ5)*$C$3+ISNUMBER(crises_vs_mcap!CR5)*$C$4+ISNUMBER(crises_vs_mcap!CS5)*$C$5+ISNUMBER(crises_vs_mcap!CT5)*$C$6+ISNUMBER(crises_vs_mcap!CU5)*$C$7)</f>
        <v>-43.817235472394252</v>
      </c>
      <c r="R29" s="42">
        <f>SUM(crises_vs_mcap!CV5*$C$2+crises_vs_mcap!CW5*$C$3+crises_vs_mcap!CX5*$C$4+crises_vs_mcap!CY5*$C$5+crises_vs_mcap!CZ5*$C$6+crises_vs_mcap!DA5*$C$7)</f>
        <v>-0.20882590988401345</v>
      </c>
    </row>
    <row r="30" spans="1:18" x14ac:dyDescent="0.3">
      <c r="A30" s="39" t="s">
        <v>21</v>
      </c>
      <c r="B30" s="40" t="s">
        <v>22</v>
      </c>
      <c r="C30" s="40" t="s">
        <v>2</v>
      </c>
      <c r="D30" s="40" t="s">
        <v>3</v>
      </c>
      <c r="E30" s="40" t="s">
        <v>4</v>
      </c>
      <c r="F30" s="40" t="s">
        <v>22</v>
      </c>
      <c r="G30" s="42">
        <f>SUM(crises_vs_mcap!J6*$C$2+crises_vs_mcap!K6*$C$3+crises_vs_mcap!L6*$C$4+crises_vs_mcap!M6*$C$5+crises_vs_mcap!N6*$C$6+crises_vs_mcap!O6*$C$7)</f>
        <v>4.1469450690900467E-2</v>
      </c>
      <c r="H30" s="42">
        <f>SUM(crises_vs_mcap!P6*$C$2+crises_vs_mcap!Q6*$C$3+crises_vs_mcap!R6*$C$4+crises_vs_mcap!S6*$C$5+crises_vs_mcap!T6*$C$6+crises_vs_mcap!U6*$C$7)</f>
        <v>-7.4922428744473813E-3</v>
      </c>
      <c r="I30" s="44">
        <f>SUM(crises_vs_mcap!AB6*$C$2+crises_vs_mcap!AC6*$C$3+crises_vs_mcap!AD6*$C$4+crises_vs_mcap!AE6*$C$5+crises_vs_mcap!AF6*$C$6+crises_vs_mcap!AG6*$C$7)</f>
        <v>-4.2729429386491489E-3</v>
      </c>
      <c r="J30" s="45">
        <f>(N(crises_vs_mcap!AH6)*$C$2+N(crises_vs_mcap!AI6)*$C$3+N(crises_vs_mcap!AJ6)*$C$4+N(crises_vs_mcap!AK6)*$C$5+N(crises_vs_mcap!AL6)*$C$6+N(crises_vs_mcap!AM6)*$C$7)/(ISNUMBER(crises_vs_mcap!AH6)*$C$2+ISNUMBER(crises_vs_mcap!AI6)*$C$3+ISNUMBER(crises_vs_mcap!AJ6)*$C$4+ISNUMBER(crises_vs_mcap!AK6)*$C$5+ISNUMBER(crises_vs_mcap!AL6)*$C$6+ISNUMBER(crises_vs_mcap!AM6)*$C$7)</f>
        <v>58.082751350639072</v>
      </c>
      <c r="K30" s="42">
        <f>SUM(crises_vs_mcap!AZ6*$C$2+crises_vs_mcap!BA6*$C$3+crises_vs_mcap!BB6*$C$4+crises_vs_mcap!BC6*$C$5+crises_vs_mcap!BD6*$C$6+crises_vs_mcap!BE6*$B$7)</f>
        <v>-2.0422221708378048E-2</v>
      </c>
      <c r="L30" s="42">
        <f>SUM(crises_vs_mcap!BL6*$C$2+crises_vs_mcap!BM6*$C$3+crises_vs_mcap!BN6*$C$4+crises_vs_mcap!BO6*$C$5+crises_vs_mcap!BP6*$C$6+crises_vs_mcap!BQ6*$C$7)</f>
        <v>-2.0118102331571505E-2</v>
      </c>
      <c r="M30" s="42">
        <f>SUM(crises_vs_mcap!BR6*$C$2+crises_vs_mcap!BS6*$C$3+crises_vs_mcap!BT6*$C$4+crises_vs_mcap!BU6*$C$5+crises_vs_mcap!BV6*$C$6+crises_vs_mcap!BW6*$C$7)</f>
        <v>-9.2019188664305973E-3</v>
      </c>
      <c r="N30" s="46">
        <f>SUM(crises_vs_mcap!BX6*$C$2+crises_vs_mcap!BY6*$C$3+crises_vs_mcap!BZ6*$C$4+crises_vs_mcap!CA6*$C$5+crises_vs_mcap!CB6*$C$6+crises_vs_mcap!CC6*$C$7)</f>
        <v>5.7149999999999999</v>
      </c>
      <c r="O30" s="42">
        <f>SUM(crises_vs_mcap!CD6*$C$2+crises_vs_mcap!CE6*$C$3+crises_vs_mcap!CF6*$C$4+crises_vs_mcap!CG6*$C$5+crises_vs_mcap!CH6*$C$6+crises_vs_mcap!CI6*$C$7)</f>
        <v>6.8987253242696778E-2</v>
      </c>
      <c r="P30" s="42">
        <f>SUM(crises_vs_mcap!CJ6*$C$2+crises_vs_mcap!CK6*$C$3+crises_vs_mcap!CL6*$C$4+crises_vs_mcap!CM6*$C$5+crises_vs_mcap!CN6*$C$6+crises_vs_mcap!CO6*$C$7)</f>
        <v>-1.9147664919860294E-2</v>
      </c>
      <c r="Q30" s="47">
        <f>(N(crises_vs_mcap!CP6)*$C$2+N(crises_vs_mcap!CQ6)*$C$3+N(crises_vs_mcap!CR6)*$C$4+N(crises_vs_mcap!CS6)*$C$5+N(crises_vs_mcap!CT6)*$C$6+N(crises_vs_mcap!CU6)*$C$7)/(ISNUMBER(crises_vs_mcap!CP6)*$C$2+ISNUMBER(crises_vs_mcap!CQ6)*$C$3+ISNUMBER(crises_vs_mcap!CR6)*$C$4+ISNUMBER(crises_vs_mcap!CS6)*$C$5+ISNUMBER(crises_vs_mcap!CT6)*$C$6+ISNUMBER(crises_vs_mcap!CU6)*$C$7)</f>
        <v>68.018184213993933</v>
      </c>
      <c r="R30" s="42">
        <f>SUM(crises_vs_mcap!CV6*$C$2+crises_vs_mcap!CW6*$C$3+crises_vs_mcap!CX6*$C$4+crises_vs_mcap!CY6*$C$5+crises_vs_mcap!CZ6*$C$6+crises_vs_mcap!DA6*$C$7)</f>
        <v>8.1911300045114738E-2</v>
      </c>
    </row>
    <row r="31" spans="1:18" x14ac:dyDescent="0.3">
      <c r="A31" s="37" t="s">
        <v>19</v>
      </c>
      <c r="B31" s="38" t="s">
        <v>20</v>
      </c>
      <c r="C31" s="38" t="s">
        <v>2</v>
      </c>
      <c r="D31" s="38" t="s">
        <v>3</v>
      </c>
      <c r="E31" s="38" t="s">
        <v>4</v>
      </c>
      <c r="F31" s="38" t="s">
        <v>20</v>
      </c>
      <c r="G31" s="42">
        <f>SUM(crises_vs_mcap!J7*$C$2+crises_vs_mcap!K7*$C$3+crises_vs_mcap!L7*$C$4+crises_vs_mcap!M7*$C$5+crises_vs_mcap!N7*$C$6+crises_vs_mcap!O7*$C$7)</f>
        <v>4.3651541585591147E-2</v>
      </c>
      <c r="H31" s="42">
        <f>SUM(crises_vs_mcap!P7*$C$2+crises_vs_mcap!Q7*$C$3+crises_vs_mcap!R7*$C$4+crises_vs_mcap!S7*$C$5+crises_vs_mcap!T7*$C$6+crises_vs_mcap!U7*$C$7)</f>
        <v>-1.2838134255514382E-2</v>
      </c>
      <c r="I31" s="44">
        <f>SUM(crises_vs_mcap!AB7*$C$2+crises_vs_mcap!AC7*$C$3+crises_vs_mcap!AD7*$C$4+crises_vs_mcap!AE7*$C$5+crises_vs_mcap!AF7*$C$6+crises_vs_mcap!AG7*$C$7)</f>
        <v>-8.7925175274229765E-3</v>
      </c>
      <c r="J31" s="45">
        <f>(N(crises_vs_mcap!AH7)*$C$2+N(crises_vs_mcap!AI7)*$C$3+N(crises_vs_mcap!AJ7)*$C$4+N(crises_vs_mcap!AK7)*$C$5+N(crises_vs_mcap!AL7)*$C$6+N(crises_vs_mcap!AM7)*$C$7)/(ISNUMBER(crises_vs_mcap!AH7)*$C$2+ISNUMBER(crises_vs_mcap!AI7)*$C$3+ISNUMBER(crises_vs_mcap!AJ7)*$C$4+ISNUMBER(crises_vs_mcap!AK7)*$C$5+ISNUMBER(crises_vs_mcap!AL7)*$C$6+ISNUMBER(crises_vs_mcap!AM7)*$C$7)</f>
        <v>79.76136513374621</v>
      </c>
      <c r="K31" s="42">
        <f>SUM(crises_vs_mcap!AZ7*$C$2+crises_vs_mcap!BA7*$C$3+crises_vs_mcap!BB7*$C$4+crises_vs_mcap!BC7*$C$5+crises_vs_mcap!BD7*$C$6+crises_vs_mcap!BE7*$B$7)</f>
        <v>-1.5898310298522601E-2</v>
      </c>
      <c r="L31" s="42">
        <f>SUM(crises_vs_mcap!BL7*$C$2+crises_vs_mcap!BM7*$C$3+crises_vs_mcap!BN7*$C$4+crises_vs_mcap!BO7*$C$5+crises_vs_mcap!BP7*$C$6+crises_vs_mcap!BQ7*$C$7)</f>
        <v>-2.5202136510705422E-2</v>
      </c>
      <c r="M31" s="42">
        <f>SUM(crises_vs_mcap!BR7*$C$2+crises_vs_mcap!BS7*$C$3+crises_vs_mcap!BT7*$C$4+crises_vs_mcap!BU7*$C$5+crises_vs_mcap!BV7*$C$6+crises_vs_mcap!BW7*$C$7)</f>
        <v>-1.4485031472255872E-2</v>
      </c>
      <c r="N31" s="46">
        <f>SUM(crises_vs_mcap!BX7*$C$2+crises_vs_mcap!BY7*$C$3+crises_vs_mcap!BZ7*$C$4+crises_vs_mcap!CA7*$C$5+crises_vs_mcap!CB7*$C$6+crises_vs_mcap!CC7*$C$7)</f>
        <v>5.7149999999999999</v>
      </c>
      <c r="O31" s="42">
        <f>SUM(crises_vs_mcap!CD7*$C$2+crises_vs_mcap!CE7*$C$3+crises_vs_mcap!CF7*$C$4+crises_vs_mcap!CG7*$C$5+crises_vs_mcap!CH7*$C$6+crises_vs_mcap!CI7*$C$7)</f>
        <v>7.0482727887331342E-2</v>
      </c>
      <c r="P31" s="42">
        <f>SUM(crises_vs_mcap!CJ7*$C$2+crises_vs_mcap!CK7*$C$3+crises_vs_mcap!CL7*$C$4+crises_vs_mcap!CM7*$C$5+crises_vs_mcap!CN7*$C$6+crises_vs_mcap!CO7*$C$7)</f>
        <v>-2.0228076754581933E-2</v>
      </c>
      <c r="Q31" s="47">
        <f>(N(crises_vs_mcap!CP7)*$C$2+N(crises_vs_mcap!CQ7)*$C$3+N(crises_vs_mcap!CR7)*$C$4+N(crises_vs_mcap!CS7)*$C$5+N(crises_vs_mcap!CT7)*$C$6+N(crises_vs_mcap!CU7)*$C$7)/(ISNUMBER(crises_vs_mcap!CP7)*$C$2+ISNUMBER(crises_vs_mcap!CQ7)*$C$3+ISNUMBER(crises_vs_mcap!CR7)*$C$4+ISNUMBER(crises_vs_mcap!CS7)*$C$5+ISNUMBER(crises_vs_mcap!CT7)*$C$6+ISNUMBER(crises_vs_mcap!CU7)*$C$7)</f>
        <v>89.696797997101072</v>
      </c>
      <c r="R31" s="42">
        <f>SUM(crises_vs_mcap!CV7*$C$2+crises_vs_mcap!CW7*$C$3+crises_vs_mcap!CX7*$C$4+crises_vs_mcap!CY7*$C$5+crises_vs_mcap!CZ7*$C$6+crises_vs_mcap!DA7*$C$7)</f>
        <v>8.5267952120664028E-2</v>
      </c>
    </row>
    <row r="32" spans="1:18" x14ac:dyDescent="0.3">
      <c r="A32" s="39" t="s">
        <v>17</v>
      </c>
      <c r="B32" s="40" t="s">
        <v>18</v>
      </c>
      <c r="C32" s="40" t="s">
        <v>2</v>
      </c>
      <c r="D32" s="40" t="s">
        <v>3</v>
      </c>
      <c r="E32" s="40" t="s">
        <v>4</v>
      </c>
      <c r="F32" s="40" t="s">
        <v>18</v>
      </c>
      <c r="G32" s="42">
        <f>SUM(crises_vs_mcap!J8*$C$2+crises_vs_mcap!K8*$C$3+crises_vs_mcap!L8*$C$4+crises_vs_mcap!M8*$C$5+crises_vs_mcap!N8*$C$6+crises_vs_mcap!O8*$C$7)</f>
        <v>5.0647036963398798E-2</v>
      </c>
      <c r="H32" s="42">
        <f>SUM(crises_vs_mcap!P8*$C$2+crises_vs_mcap!Q8*$C$3+crises_vs_mcap!R8*$C$4+crises_vs_mcap!S8*$C$5+crises_vs_mcap!T8*$C$6+crises_vs_mcap!U8*$C$7)</f>
        <v>-1.332848970392974E-2</v>
      </c>
      <c r="I32" s="44">
        <f>SUM(crises_vs_mcap!AB8*$C$2+crises_vs_mcap!AC8*$C$3+crises_vs_mcap!AD8*$C$4+crises_vs_mcap!AE8*$C$5+crises_vs_mcap!AF8*$C$6+crises_vs_mcap!AG8*$C$7)</f>
        <v>-8.2967802447804859E-3</v>
      </c>
      <c r="J32" s="45">
        <f>(N(crises_vs_mcap!AH8)*$C$2+N(crises_vs_mcap!AI8)*$C$3+N(crises_vs_mcap!AJ8)*$C$4+N(crises_vs_mcap!AK8)*$C$5+N(crises_vs_mcap!AL8)*$C$6+N(crises_vs_mcap!AM8)*$C$7)/(ISNUMBER(crises_vs_mcap!AH8)*$C$2+ISNUMBER(crises_vs_mcap!AI8)*$C$3+ISNUMBER(crises_vs_mcap!AJ8)*$C$4+ISNUMBER(crises_vs_mcap!AK8)*$C$5+ISNUMBER(crises_vs_mcap!AL8)*$C$6+ISNUMBER(crises_vs_mcap!AM8)*$C$7)</f>
        <v>77.768480695743847</v>
      </c>
      <c r="K32" s="42">
        <f>SUM(crises_vs_mcap!AZ8*$C$2+crises_vs_mcap!BA8*$C$3+crises_vs_mcap!BB8*$C$4+crises_vs_mcap!BC8*$C$5+crises_vs_mcap!BD8*$C$6+crises_vs_mcap!BE8*$B$7)</f>
        <v>-1.4076606830533937E-2</v>
      </c>
      <c r="L32" s="42">
        <f>SUM(crises_vs_mcap!BL8*$C$2+crises_vs_mcap!BM8*$C$3+crises_vs_mcap!BN8*$C$4+crises_vs_mcap!BO8*$C$5+crises_vs_mcap!BP8*$C$6+crises_vs_mcap!BQ8*$C$7)</f>
        <v>-2.9424819165239459E-2</v>
      </c>
      <c r="M32" s="42">
        <f>SUM(crises_vs_mcap!BR8*$C$2+crises_vs_mcap!BS8*$C$3+crises_vs_mcap!BT8*$C$4+crises_vs_mcap!BU8*$C$5+crises_vs_mcap!BV8*$C$6+crises_vs_mcap!BW8*$C$7)</f>
        <v>-1.4594370834286573E-2</v>
      </c>
      <c r="N32" s="46">
        <f>SUM(crises_vs_mcap!BX8*$C$2+crises_vs_mcap!BY8*$C$3+crises_vs_mcap!BZ8*$C$4+crises_vs_mcap!CA8*$C$5+crises_vs_mcap!CB8*$C$6+crises_vs_mcap!CC8*$C$7)</f>
        <v>7.4607999999999999</v>
      </c>
      <c r="O32" s="42">
        <f>SUM(crises_vs_mcap!CD8*$C$2+crises_vs_mcap!CE8*$C$3+crises_vs_mcap!CF8*$C$4+crises_vs_mcap!CG8*$C$5+crises_vs_mcap!CH8*$C$6+crises_vs_mcap!CI8*$C$7)</f>
        <v>8.1900475611564091E-2</v>
      </c>
      <c r="P32" s="42">
        <f>SUM(crises_vs_mcap!CJ8*$C$2+crises_vs_mcap!CK8*$C$3+crises_vs_mcap!CL8*$C$4+crises_vs_mcap!CM8*$C$5+crises_vs_mcap!CN8*$C$6+crises_vs_mcap!CO8*$C$7)</f>
        <v>-2.0787330662965349E-2</v>
      </c>
      <c r="Q32" s="47">
        <f>(N(crises_vs_mcap!CP8)*$C$2+N(crises_vs_mcap!CQ8)*$C$3+N(crises_vs_mcap!CR8)*$C$4+N(crises_vs_mcap!CS8)*$C$5+N(crises_vs_mcap!CT8)*$C$6+N(crises_vs_mcap!CU8)*$C$7)/(ISNUMBER(crises_vs_mcap!CP8)*$C$2+ISNUMBER(crises_vs_mcap!CQ8)*$C$3+ISNUMBER(crises_vs_mcap!CR8)*$C$4+ISNUMBER(crises_vs_mcap!CS8)*$C$5+ISNUMBER(crises_vs_mcap!CT8)*$C$6+ISNUMBER(crises_vs_mcap!CU8)*$C$7)</f>
        <v>85.40347871919883</v>
      </c>
      <c r="R32" s="42">
        <f>SUM(crises_vs_mcap!CV8*$C$2+crises_vs_mcap!CW8*$C$3+crises_vs_mcap!CX8*$C$4+crises_vs_mcap!CY8*$C$5+crises_vs_mcap!CZ8*$C$6+crises_vs_mcap!DA8*$C$7)</f>
        <v>9.4958363764771889E-2</v>
      </c>
    </row>
    <row r="34" spans="1:18" x14ac:dyDescent="0.3">
      <c r="A34" s="43" t="s">
        <v>174</v>
      </c>
    </row>
    <row r="35" spans="1:18" x14ac:dyDescent="0.3">
      <c r="A35" s="36" t="s">
        <v>23</v>
      </c>
      <c r="B35" s="36" t="s">
        <v>24</v>
      </c>
      <c r="C35" s="36" t="s">
        <v>25</v>
      </c>
      <c r="D35" s="36" t="s">
        <v>26</v>
      </c>
      <c r="E35" s="36" t="s">
        <v>27</v>
      </c>
      <c r="F35" s="36" t="s">
        <v>30</v>
      </c>
      <c r="G35" s="41" t="s">
        <v>177</v>
      </c>
      <c r="H35" s="41" t="s">
        <v>180</v>
      </c>
      <c r="I35" s="41" t="s">
        <v>210</v>
      </c>
      <c r="J35" s="41" t="s">
        <v>183</v>
      </c>
      <c r="K35" s="41" t="s">
        <v>186</v>
      </c>
      <c r="L35" s="41" t="s">
        <v>189</v>
      </c>
      <c r="M35" s="41" t="s">
        <v>197</v>
      </c>
      <c r="N35" s="41" t="s">
        <v>198</v>
      </c>
      <c r="O35" s="41" t="s">
        <v>199</v>
      </c>
      <c r="P35" s="41" t="s">
        <v>200</v>
      </c>
      <c r="Q35" s="41" t="s">
        <v>201</v>
      </c>
      <c r="R35" s="41" t="s">
        <v>208</v>
      </c>
    </row>
    <row r="36" spans="1:18" x14ac:dyDescent="0.3">
      <c r="A36" s="33" t="s">
        <v>8</v>
      </c>
      <c r="B36" s="34" t="s">
        <v>9</v>
      </c>
      <c r="C36" s="34" t="s">
        <v>2</v>
      </c>
      <c r="D36" s="34" t="s">
        <v>10</v>
      </c>
      <c r="E36" s="34" t="s">
        <v>4</v>
      </c>
      <c r="F36" s="34"/>
      <c r="G36" s="42">
        <f>SUM(crises_vs_mcap!J2*$D$2+crises_vs_mcap!K2*$D$3+crises_vs_mcap!L2*$D$4+crises_vs_mcap!M2*$D$5+crises_vs_mcap!N2*$D$6+crises_vs_mcap!O2*$D$7)</f>
        <v>0</v>
      </c>
      <c r="H36" s="42">
        <f>SUM(crises_vs_mcap!P2*$D$2+crises_vs_mcap!Q2*$D$3+crises_vs_mcap!R2*$D$4+crises_vs_mcap!S2*$D$5+crises_vs_mcap!T2*$D$6+crises_vs_mcap!U2*$D$7)</f>
        <v>0</v>
      </c>
      <c r="I36" s="44">
        <f>SUM(crises_vs_mcap!AB2*$D$2+crises_vs_mcap!AC2*$D$3+crises_vs_mcap!AD2*$D$4+crises_vs_mcap!AE2*$D$5+crises_vs_mcap!AF2*$D$6+crises_vs_mcap!AG2*$D$7)</f>
        <v>0</v>
      </c>
      <c r="J36" s="45">
        <f>(N(crises_vs_mcap!AH2)*$D$2+N(crises_vs_mcap!AI2)*$D$3+N(crises_vs_mcap!AJ2)*$D$4+N(crises_vs_mcap!AK2)*$D$5+N(crises_vs_mcap!AL2)*$D$6+N(crises_vs_mcap!AM2)*$D$7)/(ISNUMBER(crises_vs_mcap!AH2)*$D$2+ISNUMBER(crises_vs_mcap!AI2)*$D$3+ISNUMBER(crises_vs_mcap!AJ2)*$D$4+ISNUMBER(crises_vs_mcap!AK2)*$D$5+ISNUMBER(crises_vs_mcap!AL2)*$D$6+ISNUMBER(crises_vs_mcap!AM2)*$D$7)</f>
        <v>0</v>
      </c>
      <c r="K36" s="42">
        <f>SUM(crises_vs_mcap!AZ2*$D$2+crises_vs_mcap!BA2*$D$3+crises_vs_mcap!BB2*$D$4+crises_vs_mcap!BC2*$D$5+crises_vs_mcap!BD2*$D$6+crises_vs_mcap!BE2*$D$7)</f>
        <v>0</v>
      </c>
      <c r="L36" s="42">
        <f>SUM(crises_vs_mcap!BL2*$D$2+crises_vs_mcap!BM2*$D$3+crises_vs_mcap!BN2*$D$4+crises_vs_mcap!BO2*$D$5+crises_vs_mcap!BP2*$D$6+crises_vs_mcap!BQ2*$D$7)</f>
        <v>0</v>
      </c>
      <c r="M36" s="42">
        <f>SUM(crises_vs_mcap!BR2*$D$2+crises_vs_mcap!BS2*$D$3+crises_vs_mcap!BT2*$D$4+crises_vs_mcap!BU2*$D$5+crises_vs_mcap!BV2*$D$6+crises_vs_mcap!BW2*$D$7)</f>
        <v>0</v>
      </c>
      <c r="N36" s="46">
        <f>SUM(crises_vs_mcap!BX2*$D$2+crises_vs_mcap!BY2*$D$3+crises_vs_mcap!BZ2*$D$4+crises_vs_mcap!CA2*$D$5+crises_vs_mcap!CB2*$D$6+crises_vs_mcap!CC2*$D$7)</f>
        <v>0</v>
      </c>
      <c r="O36" s="42">
        <f>SUM(crises_vs_mcap!CD2*$D$2+crises_vs_mcap!CE2*$D$3+crises_vs_mcap!CF2*$D$4+crises_vs_mcap!CG2*$D$5+crises_vs_mcap!CH2*$D$6+crises_vs_mcap!CI2*$D$7)</f>
        <v>0</v>
      </c>
      <c r="P36" s="42">
        <f>SUM(crises_vs_mcap!CJ2*$D$2+crises_vs_mcap!CK2*$D$3+crises_vs_mcap!CL2*$D$4+crises_vs_mcap!CM2*$D$5+crises_vs_mcap!CN2*$D$6+crises_vs_mcap!CO2*$D$7)</f>
        <v>0</v>
      </c>
      <c r="Q36" s="47">
        <f>(N(crises_vs_mcap!CP2)*$D$2+N(crises_vs_mcap!CQ2)*$D$3+N(crises_vs_mcap!CR2)*$D$4+N(crises_vs_mcap!CS2)*$D$5+N(crises_vs_mcap!CT2)*$D$6+N(crises_vs_mcap!CU2)*$D$7)/(ISNUMBER(crises_vs_mcap!CP2)*$D$2+ISNUMBER(crises_vs_mcap!CQ2)*$D$3+ISNUMBER(crises_vs_mcap!CR2)*$D$4+ISNUMBER(crises_vs_mcap!CS2)*$D$5+ISNUMBER(crises_vs_mcap!CT2)*$D$6+ISNUMBER(crises_vs_mcap!CU2)*$D$7)</f>
        <v>0</v>
      </c>
      <c r="R36" s="42">
        <f>SUM(crises_vs_mcap!CV2*$D$2+crises_vs_mcap!CW2*$D$3+crises_vs_mcap!CX2*$D$4+crises_vs_mcap!CY2*$D$5+crises_vs_mcap!CZ2*$D$6+crises_vs_mcap!DA2*$D$7)</f>
        <v>0</v>
      </c>
    </row>
    <row r="37" spans="1:18" x14ac:dyDescent="0.3">
      <c r="A37" s="37" t="s">
        <v>11</v>
      </c>
      <c r="B37" s="38" t="s">
        <v>12</v>
      </c>
      <c r="C37" s="38" t="s">
        <v>2</v>
      </c>
      <c r="D37" s="38" t="s">
        <v>3</v>
      </c>
      <c r="E37" s="38" t="s">
        <v>4</v>
      </c>
      <c r="F37" s="38" t="s">
        <v>12</v>
      </c>
      <c r="G37" s="42">
        <f>SUM(crises_vs_mcap!J3*$D$2+crises_vs_mcap!K3*$D$3+crises_vs_mcap!L3*$D$4+crises_vs_mcap!M3*$D$5+crises_vs_mcap!N3*$D$6+crises_vs_mcap!O3*$D$7)</f>
        <v>0.1191734026148776</v>
      </c>
      <c r="H37" s="42">
        <f>SUM(crises_vs_mcap!P3*$D$2+crises_vs_mcap!Q3*$D$3+crises_vs_mcap!R3*$D$4+crises_vs_mcap!S3*$D$5+crises_vs_mcap!T3*$D$6+crises_vs_mcap!U3*$D$7)</f>
        <v>3.8697397359989068E-2</v>
      </c>
      <c r="I37" s="44">
        <f>SUM(crises_vs_mcap!AB3*$D$2+crises_vs_mcap!AC3*$D$3+crises_vs_mcap!AD3*$D$4+crises_vs_mcap!AE3*$D$5+crises_vs_mcap!AF3*$D$6+crises_vs_mcap!AG3*$D$7)</f>
        <v>4.8123745479896084E-2</v>
      </c>
      <c r="J37" s="45">
        <f>(N(crises_vs_mcap!AH3)*$D$2+N(crises_vs_mcap!AI3)*$D$3+N(crises_vs_mcap!AJ3)*$D$4+N(crises_vs_mcap!AK3)*$D$5+N(crises_vs_mcap!AL3)*$D$6+N(crises_vs_mcap!AM3)*$D$7)/(ISNUMBER(crises_vs_mcap!AH3)*$D$2+ISNUMBER(crises_vs_mcap!AI3)*$D$3+ISNUMBER(crises_vs_mcap!AJ3)*$D$4+ISNUMBER(crises_vs_mcap!AK3)*$D$5+ISNUMBER(crises_vs_mcap!AL3)*$D$6+ISNUMBER(crises_vs_mcap!AM3)*$D$7)</f>
        <v>45.622287390029321</v>
      </c>
      <c r="K37" s="42">
        <f>SUM(crises_vs_mcap!AZ3*$D$2+crises_vs_mcap!BA3*$D$3+crises_vs_mcap!BB3*$D$4+crises_vs_mcap!BC3*$D$5+crises_vs_mcap!BD3*$D$6+crises_vs_mcap!BE3*$D$7)</f>
        <v>-5.4789596741111279E-2</v>
      </c>
      <c r="L37" s="42">
        <f>SUM(crises_vs_mcap!BL3*$D$2+crises_vs_mcap!BM3*$D$3+crises_vs_mcap!BN3*$D$4+crises_vs_mcap!BO3*$D$5+crises_vs_mcap!BP3*$D$6+crises_vs_mcap!BQ3*$D$7)</f>
        <v>7.4613208286513535E-2</v>
      </c>
      <c r="M37" s="42">
        <f>SUM(crises_vs_mcap!BR3*$D$2+crises_vs_mcap!BS3*$D$3+crises_vs_mcap!BT3*$D$4+crises_vs_mcap!BU3*$D$5+crises_vs_mcap!BV3*$D$6+crises_vs_mcap!BW3*$D$7)</f>
        <v>3.6604813286045368E-2</v>
      </c>
      <c r="N37" s="46">
        <f>SUM(crises_vs_mcap!BX3*$D$2+crises_vs_mcap!BY3*$D$3+crises_vs_mcap!BZ3*$D$4+crises_vs_mcap!CA3*$D$5+crises_vs_mcap!CB3*$D$6+crises_vs_mcap!CC3*$D$7)</f>
        <v>-8.5898000000000003</v>
      </c>
      <c r="O37" s="42">
        <f>SUM(crises_vs_mcap!CD3*$D$2+crises_vs_mcap!CE3*$D$3+crises_vs_mcap!CF3*$D$4+crises_vs_mcap!CG3*$D$5+crises_vs_mcap!CH3*$D$6+crises_vs_mcap!CI3*$D$7)</f>
        <v>4.2537902627364427E-2</v>
      </c>
      <c r="P37" s="42">
        <f>SUM(crises_vs_mcap!CJ3*$D$2+crises_vs_mcap!CK3*$D$3+crises_vs_mcap!CL3*$D$4+crises_vs_mcap!CM3*$D$5+crises_vs_mcap!CN3*$D$6+crises_vs_mcap!CO3*$D$7)</f>
        <v>-1.8892349155815683E-4</v>
      </c>
      <c r="Q37" s="47">
        <f>(N(crises_vs_mcap!CP3)*$D$2+N(crises_vs_mcap!CQ3)*$D$3+N(crises_vs_mcap!CR3)*$D$4+N(crises_vs_mcap!CS3)*$D$5+N(crises_vs_mcap!CT3)*$D$6+N(crises_vs_mcap!CU3)*$D$7)/(ISNUMBER(crises_vs_mcap!CP3)*$D$2+ISNUMBER(crises_vs_mcap!CQ3)*$D$3+ISNUMBER(crises_vs_mcap!CR3)*$D$4+ISNUMBER(crises_vs_mcap!CS3)*$D$5+ISNUMBER(crises_vs_mcap!CT3)*$D$6+ISNUMBER(crises_vs_mcap!CU3)*$D$7)</f>
        <v>62.415640273704781</v>
      </c>
      <c r="R37" s="42">
        <f>SUM(crises_vs_mcap!CV3*$D$2+crises_vs_mcap!CW3*$D$3+crises_vs_mcap!CX3*$D$4+crises_vs_mcap!CY3*$D$5+crises_vs_mcap!CZ3*$D$6+crises_vs_mcap!DA3*$D$7)</f>
        <v>-0.12020370909868046</v>
      </c>
    </row>
    <row r="38" spans="1:18" x14ac:dyDescent="0.3">
      <c r="A38" s="39" t="s">
        <v>14</v>
      </c>
      <c r="B38" s="40" t="s">
        <v>15</v>
      </c>
      <c r="C38" s="40" t="s">
        <v>2</v>
      </c>
      <c r="D38" s="40" t="s">
        <v>3</v>
      </c>
      <c r="E38" s="40" t="s">
        <v>4</v>
      </c>
      <c r="F38" s="40" t="s">
        <v>15</v>
      </c>
      <c r="G38" s="42">
        <f>SUM(crises_vs_mcap!J4*$D$2+crises_vs_mcap!K4*$D$3+crises_vs_mcap!L4*$D$4+crises_vs_mcap!M4*$D$5+crises_vs_mcap!N4*$D$6+crises_vs_mcap!O4*$D$7)</f>
        <v>2.5505215000261868E-2</v>
      </c>
      <c r="H38" s="42">
        <f>SUM(crises_vs_mcap!P4*$D$2+crises_vs_mcap!Q4*$D$3+crises_vs_mcap!R4*$D$4+crises_vs_mcap!S4*$D$5+crises_vs_mcap!T4*$D$6+crises_vs_mcap!U4*$D$7)</f>
        <v>-4.6542843442295926E-3</v>
      </c>
      <c r="I38" s="44">
        <f>SUM(crises_vs_mcap!AB4*$D$2+crises_vs_mcap!AC4*$D$3+crises_vs_mcap!AD4*$D$4+crises_vs_mcap!AE4*$D$5+crises_vs_mcap!AF4*$D$6+crises_vs_mcap!AG4*$D$7)</f>
        <v>-3.5186120737372905E-4</v>
      </c>
      <c r="J38" s="45">
        <f>(N(crises_vs_mcap!AH4)*$D$2+N(crises_vs_mcap!AI4)*$D$3+N(crises_vs_mcap!AJ4)*$D$4+N(crises_vs_mcap!AK4)*$D$5+N(crises_vs_mcap!AL4)*$D$6+N(crises_vs_mcap!AM4)*$D$7)/(ISNUMBER(crises_vs_mcap!AH4)*$D$2+ISNUMBER(crises_vs_mcap!AI4)*$D$3+ISNUMBER(crises_vs_mcap!AJ4)*$D$4+ISNUMBER(crises_vs_mcap!AK4)*$D$5+ISNUMBER(crises_vs_mcap!AL4)*$D$6+ISNUMBER(crises_vs_mcap!AM4)*$D$7)</f>
        <v>-226.68699902248284</v>
      </c>
      <c r="K38" s="42">
        <f>SUM(crises_vs_mcap!AZ4*$D$2+crises_vs_mcap!BA4*$D$3+crises_vs_mcap!BB4*$D$4+crises_vs_mcap!BC4*$D$5+crises_vs_mcap!BD4*$D$6+crises_vs_mcap!BE4*$D$7)</f>
        <v>1.8665903806534219E-2</v>
      </c>
      <c r="L38" s="42">
        <f>SUM(crises_vs_mcap!BL4*$D$2+crises_vs_mcap!BM4*$D$3+crises_vs_mcap!BN4*$D$4+crises_vs_mcap!BO4*$D$5+crises_vs_mcap!BP4*$D$6+crises_vs_mcap!BQ4*$D$7)</f>
        <v>-4.1037073431458492E-3</v>
      </c>
      <c r="M38" s="42">
        <f>SUM(crises_vs_mcap!BR4*$D$2+crises_vs_mcap!BS4*$D$3+crises_vs_mcap!BT4*$D$4+crises_vs_mcap!BU4*$D$5+crises_vs_mcap!BV4*$D$6+crises_vs_mcap!BW4*$D$7)</f>
        <v>-6.1825542439976119E-3</v>
      </c>
      <c r="N38" s="46">
        <f>SUM(crises_vs_mcap!BX4*$D$2+crises_vs_mcap!BY4*$D$3+crises_vs_mcap!BZ4*$D$4+crises_vs_mcap!CA4*$D$5+crises_vs_mcap!CB4*$D$6+crises_vs_mcap!CC4*$D$7)</f>
        <v>-5.04E-2</v>
      </c>
      <c r="O38" s="42">
        <f>SUM(crises_vs_mcap!CD4*$D$2+crises_vs_mcap!CE4*$D$3+crises_vs_mcap!CF4*$D$4+crises_vs_mcap!CG4*$D$5+crises_vs_mcap!CH4*$D$6+crises_vs_mcap!CI4*$D$7)</f>
        <v>2.9773486131913537E-2</v>
      </c>
      <c r="P38" s="42">
        <f>SUM(crises_vs_mcap!CJ4*$D$2+crises_vs_mcap!CK4*$D$3+crises_vs_mcap!CL4*$D$4+crises_vs_mcap!CM4*$D$5+crises_vs_mcap!CN4*$D$6+crises_vs_mcap!CO4*$D$7)</f>
        <v>8.1543825390321956E-3</v>
      </c>
      <c r="Q38" s="47">
        <f>(N(crises_vs_mcap!CP4)*$D$2+N(crises_vs_mcap!CQ4)*$D$3+N(crises_vs_mcap!CR4)*$D$4+N(crises_vs_mcap!CS4)*$D$5+N(crises_vs_mcap!CT4)*$D$6+N(crises_vs_mcap!CU4)*$D$7)/(ISNUMBER(crises_vs_mcap!CP4)*$D$2+ISNUMBER(crises_vs_mcap!CQ4)*$D$3+ISNUMBER(crises_vs_mcap!CR4)*$D$4+ISNUMBER(crises_vs_mcap!CS4)*$D$5+ISNUMBER(crises_vs_mcap!CT4)*$D$6+ISNUMBER(crises_vs_mcap!CU4)*$D$7)</f>
        <v>-226.58846529814267</v>
      </c>
      <c r="R38" s="42">
        <f>SUM(crises_vs_mcap!CV4*$D$2+crises_vs_mcap!CW4*$D$3+crises_vs_mcap!CX4*$D$4+crises_vs_mcap!CY4*$D$5+crises_vs_mcap!CZ4*$D$6+crises_vs_mcap!DA4*$D$7)</f>
        <v>2.4852162782848203E-2</v>
      </c>
    </row>
    <row r="39" spans="1:18" x14ac:dyDescent="0.3">
      <c r="A39" s="37" t="s">
        <v>0</v>
      </c>
      <c r="B39" s="38" t="s">
        <v>1</v>
      </c>
      <c r="C39" s="38" t="s">
        <v>2</v>
      </c>
      <c r="D39" s="38" t="s">
        <v>3</v>
      </c>
      <c r="E39" s="38" t="s">
        <v>4</v>
      </c>
      <c r="F39" s="38" t="s">
        <v>1</v>
      </c>
      <c r="G39" s="42">
        <f>SUM(crises_vs_mcap!J5*$D$2+crises_vs_mcap!K5*$D$3+crises_vs_mcap!L5*$D$4+crises_vs_mcap!M5*$D$5+crises_vs_mcap!N5*$D$6+crises_vs_mcap!O5*$D$7)</f>
        <v>0.26287645027835049</v>
      </c>
      <c r="H39" s="42">
        <f>SUM(crises_vs_mcap!P5*$D$2+crises_vs_mcap!Q5*$D$3+crises_vs_mcap!R5*$D$4+crises_vs_mcap!S5*$D$5+crises_vs_mcap!T5*$D$6+crises_vs_mcap!U5*$D$7)</f>
        <v>0.10024085901655112</v>
      </c>
      <c r="I39" s="44">
        <f>SUM(crises_vs_mcap!AB5*$D$2+crises_vs_mcap!AC5*$D$3+crises_vs_mcap!AD5*$D$4+crises_vs_mcap!AE5*$D$5+crises_vs_mcap!AF5*$D$6+crises_vs_mcap!AG5*$D$7)</f>
        <v>0.11940519385441527</v>
      </c>
      <c r="J39" s="45">
        <f>(N(crises_vs_mcap!AH5)*$D$2+N(crises_vs_mcap!AI5)*$D$3+N(crises_vs_mcap!AJ5)*$D$4+N(crises_vs_mcap!AK5)*$D$5+N(crises_vs_mcap!AL5)*$D$6+N(crises_vs_mcap!AM5)*$D$7)/(ISNUMBER(crises_vs_mcap!AH5)*$D$2+ISNUMBER(crises_vs_mcap!AI5)*$D$3+ISNUMBER(crises_vs_mcap!AJ5)*$D$4+ISNUMBER(crises_vs_mcap!AK5)*$D$5+ISNUMBER(crises_vs_mcap!AL5)*$D$6+ISNUMBER(crises_vs_mcap!AM5)*$D$7)</f>
        <v>-99.423264907135874</v>
      </c>
      <c r="K39" s="42">
        <f>SUM(crises_vs_mcap!AZ5*$D$2+crises_vs_mcap!BA5*$D$3+crises_vs_mcap!BB5*$D$4+crises_vs_mcap!BC5*$D$5+crises_vs_mcap!BD5*$D$6+crises_vs_mcap!BE5*$D$7)</f>
        <v>-9.6521994186168525E-2</v>
      </c>
      <c r="L39" s="42">
        <f>SUM(crises_vs_mcap!BL5*$D$2+crises_vs_mcap!BM5*$D$3+crises_vs_mcap!BN5*$D$4+crises_vs_mcap!BO5*$D$5+crises_vs_mcap!BP5*$D$6+crises_vs_mcap!BQ5*$D$7)</f>
        <v>0.23860151521645429</v>
      </c>
      <c r="M39" s="42">
        <f>SUM(crises_vs_mcap!BR5*$D$2+crises_vs_mcap!BS5*$D$3+crises_vs_mcap!BT5*$D$4+crises_vs_mcap!BU5*$D$5+crises_vs_mcap!BV5*$D$6+crises_vs_mcap!BW5*$D$7)</f>
        <v>9.8148274942607416E-2</v>
      </c>
      <c r="N39" s="46">
        <f>SUM(crises_vs_mcap!BX5*$D$2+crises_vs_mcap!BY5*$D$3+crises_vs_mcap!BZ5*$D$4+crises_vs_mcap!CA5*$D$5+crises_vs_mcap!CB5*$D$6+crises_vs_mcap!CC5*$D$7)</f>
        <v>-8.5898000000000003</v>
      </c>
      <c r="O39" s="42">
        <f>SUM(crises_vs_mcap!CD5*$D$2+crises_vs_mcap!CE5*$D$3+crises_vs_mcap!CF5*$D$4+crises_vs_mcap!CG5*$D$5+crises_vs_mcap!CH5*$D$6+crises_vs_mcap!CI5*$D$7)</f>
        <v>1.753836503870845E-2</v>
      </c>
      <c r="P39" s="42">
        <f>SUM(crises_vs_mcap!CJ5*$D$2+crises_vs_mcap!CK5*$D$3+crises_vs_mcap!CL5*$D$4+crises_vs_mcap!CM5*$D$5+crises_vs_mcap!CN5*$D$6+crises_vs_mcap!CO5*$D$7)</f>
        <v>2.3465029396275421E-2</v>
      </c>
      <c r="Q39" s="47">
        <f>(N(crises_vs_mcap!CP5)*$D$2+N(crises_vs_mcap!CQ5)*$D$3+N(crises_vs_mcap!CR5)*$D$4+N(crises_vs_mcap!CS5)*$D$5+N(crises_vs_mcap!CT5)*$D$6+N(crises_vs_mcap!CU5)*$D$7)/(ISNUMBER(crises_vs_mcap!CP5)*$D$2+ISNUMBER(crises_vs_mcap!CQ5)*$D$3+ISNUMBER(crises_vs_mcap!CR5)*$D$4+ISNUMBER(crises_vs_mcap!CS5)*$D$5+ISNUMBER(crises_vs_mcap!CT5)*$D$6+ISNUMBER(crises_vs_mcap!CU5)*$D$7)</f>
        <v>-82.62991202346042</v>
      </c>
      <c r="R39" s="42">
        <f>SUM(crises_vs_mcap!CV5*$D$2+crises_vs_mcap!CW5*$D$3+crises_vs_mcap!CX5*$D$4+crises_vs_mcap!CY5*$D$5+crises_vs_mcap!CZ5*$D$6+crises_vs_mcap!DA5*$D$7)</f>
        <v>-0.32843700960202871</v>
      </c>
    </row>
    <row r="40" spans="1:18" x14ac:dyDescent="0.3">
      <c r="A40" s="39" t="s">
        <v>21</v>
      </c>
      <c r="B40" s="40" t="s">
        <v>22</v>
      </c>
      <c r="C40" s="40" t="s">
        <v>2</v>
      </c>
      <c r="D40" s="40" t="s">
        <v>3</v>
      </c>
      <c r="E40" s="40" t="s">
        <v>4</v>
      </c>
      <c r="F40" s="40" t="s">
        <v>22</v>
      </c>
      <c r="G40" s="42">
        <f>SUM(crises_vs_mcap!J6*$D$2+crises_vs_mcap!K6*$D$3+crises_vs_mcap!L6*$D$4+crises_vs_mcap!M6*$D$5+crises_vs_mcap!N6*$D$6+crises_vs_mcap!O6*$D$7)</f>
        <v>0.12932764229232324</v>
      </c>
      <c r="H40" s="42">
        <f>SUM(crises_vs_mcap!P6*$D$2+crises_vs_mcap!Q6*$D$3+crises_vs_mcap!R6*$D$4+crises_vs_mcap!S6*$D$5+crises_vs_mcap!T6*$D$6+crises_vs_mcap!U6*$D$7)</f>
        <v>1.9446505104759353E-2</v>
      </c>
      <c r="I40" s="44">
        <f>SUM(crises_vs_mcap!AB6*$D$2+crises_vs_mcap!AC6*$D$3+crises_vs_mcap!AD6*$D$4+crises_vs_mcap!AE6*$D$5+crises_vs_mcap!AF6*$D$6+crises_vs_mcap!AG6*$D$7)</f>
        <v>2.7121949417157461E-2</v>
      </c>
      <c r="J40" s="45">
        <f>(N(crises_vs_mcap!AH6)*$D$2+N(crises_vs_mcap!AI6)*$D$3+N(crises_vs_mcap!AJ6)*$D$4+N(crises_vs_mcap!AK6)*$D$5+N(crises_vs_mcap!AL6)*$D$6+N(crises_vs_mcap!AM6)*$D$7)/(ISNUMBER(crises_vs_mcap!AH6)*$D$2+ISNUMBER(crises_vs_mcap!AI6)*$D$3+ISNUMBER(crises_vs_mcap!AJ6)*$D$4+ISNUMBER(crises_vs_mcap!AK6)*$D$5+ISNUMBER(crises_vs_mcap!AL6)*$D$6+ISNUMBER(crises_vs_mcap!AM6)*$D$7)</f>
        <v>66.341739980449674</v>
      </c>
      <c r="K40" s="42">
        <f>SUM(crises_vs_mcap!AZ6*$D$2+crises_vs_mcap!BA6*$D$3+crises_vs_mcap!BB6*$D$4+crises_vs_mcap!BC6*$D$5+crises_vs_mcap!BD6*$D$6+crises_vs_mcap!BE6*$D$7)</f>
        <v>-5.2771279198331314E-2</v>
      </c>
      <c r="L40" s="42">
        <f>SUM(crises_vs_mcap!BL6*$D$2+crises_vs_mcap!BM6*$D$3+crises_vs_mcap!BN6*$D$4+crises_vs_mcap!BO6*$D$5+crises_vs_mcap!BP6*$D$6+crises_vs_mcap!BQ6*$D$7)</f>
        <v>3.1152316772598967E-2</v>
      </c>
      <c r="M40" s="42">
        <f>SUM(crises_vs_mcap!BR6*$D$2+crises_vs_mcap!BS6*$D$3+crises_vs_mcap!BT6*$D$4+crises_vs_mcap!BU6*$D$5+crises_vs_mcap!BV6*$D$6+crises_vs_mcap!BW6*$D$7)</f>
        <v>1.7416007795916413E-2</v>
      </c>
      <c r="N40" s="46">
        <f>SUM(crises_vs_mcap!BX6*$D$2+crises_vs_mcap!BY6*$D$3+crises_vs_mcap!BZ6*$D$4+crises_vs_mcap!CA6*$D$5+crises_vs_mcap!CB6*$D$6+crises_vs_mcap!CC6*$D$7)</f>
        <v>18.025399999999998</v>
      </c>
      <c r="O40" s="42">
        <f>SUM(crises_vs_mcap!CD6*$D$2+crises_vs_mcap!CE6*$D$3+crises_vs_mcap!CF6*$D$4+crises_vs_mcap!CG6*$D$5+crises_vs_mcap!CH6*$D$6+crises_vs_mcap!CI6*$D$7)</f>
        <v>0.10141539312456395</v>
      </c>
      <c r="P40" s="42">
        <f>SUM(crises_vs_mcap!CJ6*$D$2+crises_vs_mcap!CK6*$D$3+crises_vs_mcap!CL6*$D$4+crises_vs_mcap!CM6*$D$5+crises_vs_mcap!CN6*$D$6+crises_vs_mcap!CO6*$D$7)</f>
        <v>-1.2006626072916282E-2</v>
      </c>
      <c r="Q40" s="47">
        <f>(N(crises_vs_mcap!CP6)*$D$2+N(crises_vs_mcap!CQ6)*$D$3+N(crises_vs_mcap!CR6)*$D$4+N(crises_vs_mcap!CS6)*$D$5+N(crises_vs_mcap!CT6)*$D$6+N(crises_vs_mcap!CU6)*$D$7)/(ISNUMBER(crises_vs_mcap!CP6)*$D$2+ISNUMBER(crises_vs_mcap!CQ6)*$D$3+ISNUMBER(crises_vs_mcap!CR6)*$D$4+ISNUMBER(crises_vs_mcap!CS6)*$D$5+ISNUMBER(crises_vs_mcap!CT6)*$D$6+ISNUMBER(crises_vs_mcap!CU6)*$D$7)</f>
        <v>83.617595307917895</v>
      </c>
      <c r="R40" s="42">
        <f>SUM(crises_vs_mcap!CV6*$D$2+crises_vs_mcap!CW6*$D$3+crises_vs_mcap!CX6*$D$4+crises_vs_mcap!CY6*$D$5+crises_vs_mcap!CZ6*$D$6+crises_vs_mcap!DA6*$D$7)</f>
        <v>-1.6429176300189731E-2</v>
      </c>
    </row>
    <row r="41" spans="1:18" x14ac:dyDescent="0.3">
      <c r="A41" s="37" t="s">
        <v>19</v>
      </c>
      <c r="B41" s="38" t="s">
        <v>20</v>
      </c>
      <c r="C41" s="38" t="s">
        <v>2</v>
      </c>
      <c r="D41" s="38" t="s">
        <v>3</v>
      </c>
      <c r="E41" s="38" t="s">
        <v>4</v>
      </c>
      <c r="F41" s="38" t="s">
        <v>20</v>
      </c>
      <c r="G41" s="42">
        <f>SUM(crises_vs_mcap!J7*$D$2+crises_vs_mcap!K7*$D$3+crises_vs_mcap!L7*$D$4+crises_vs_mcap!M7*$D$5+crises_vs_mcap!N7*$D$6+crises_vs_mcap!O7*$D$7)</f>
        <v>0.14319757397553748</v>
      </c>
      <c r="H41" s="42">
        <f>SUM(crises_vs_mcap!P7*$D$2+crises_vs_mcap!Q7*$D$3+crises_vs_mcap!R7*$D$4+crises_vs_mcap!S7*$D$5+crises_vs_mcap!T7*$D$6+crises_vs_mcap!U7*$D$7)</f>
        <v>1.4418449014336072E-2</v>
      </c>
      <c r="I41" s="44">
        <f>SUM(crises_vs_mcap!AB7*$D$2+crises_vs_mcap!AC7*$D$3+crises_vs_mcap!AD7*$D$4+crises_vs_mcap!AE7*$D$5+crises_vs_mcap!AF7*$D$6+crises_vs_mcap!AG7*$D$7)</f>
        <v>2.3739709517380289E-2</v>
      </c>
      <c r="J41" s="45">
        <f>(N(crises_vs_mcap!AH7)*$D$2+N(crises_vs_mcap!AI7)*$D$3+N(crises_vs_mcap!AJ7)*$D$4+N(crises_vs_mcap!AK7)*$D$5+N(crises_vs_mcap!AL7)*$D$6+N(crises_vs_mcap!AM7)*$D$7)/(ISNUMBER(crises_vs_mcap!AH7)*$D$2+ISNUMBER(crises_vs_mcap!AI7)*$D$3+ISNUMBER(crises_vs_mcap!AJ7)*$D$4+ISNUMBER(crises_vs_mcap!AK7)*$D$5+ISNUMBER(crises_vs_mcap!AL7)*$D$6+ISNUMBER(crises_vs_mcap!AM7)*$D$7)</f>
        <v>95.456500488758564</v>
      </c>
      <c r="K41" s="42">
        <f>SUM(crises_vs_mcap!AZ7*$D$2+crises_vs_mcap!BA7*$D$3+crises_vs_mcap!BB7*$D$4+crises_vs_mcap!BC7*$D$5+crises_vs_mcap!BD7*$D$6+crises_vs_mcap!BE7*$D$7)</f>
        <v>-4.8795007597219289E-2</v>
      </c>
      <c r="L41" s="42">
        <f>SUM(crises_vs_mcap!BL7*$D$2+crises_vs_mcap!BM7*$D$3+crises_vs_mcap!BN7*$D$4+crises_vs_mcap!BO7*$D$5+crises_vs_mcap!BP7*$D$6+crises_vs_mcap!BQ7*$D$7)</f>
        <v>2.6807667203561265E-2</v>
      </c>
      <c r="M41" s="42">
        <f>SUM(crises_vs_mcap!BR7*$D$2+crises_vs_mcap!BS7*$D$3+crises_vs_mcap!BT7*$D$4+crises_vs_mcap!BU7*$D$5+crises_vs_mcap!BV7*$D$6+crises_vs_mcap!BW7*$D$7)</f>
        <v>1.2462510940563701E-2</v>
      </c>
      <c r="N41" s="46">
        <f>SUM(crises_vs_mcap!BX7*$D$2+crises_vs_mcap!BY7*$D$3+crises_vs_mcap!BZ7*$D$4+crises_vs_mcap!CA7*$D$5+crises_vs_mcap!CB7*$D$6+crises_vs_mcap!CC7*$D$7)</f>
        <v>18.025399999999998</v>
      </c>
      <c r="O41" s="42">
        <f>SUM(crises_vs_mcap!CD7*$D$2+crises_vs_mcap!CE7*$D$3+crises_vs_mcap!CF7*$D$4+crises_vs_mcap!CG7*$D$5+crises_vs_mcap!CH7*$D$6+crises_vs_mcap!CI7*$D$7)</f>
        <v>0.11273305366769716</v>
      </c>
      <c r="P41" s="42">
        <f>SUM(crises_vs_mcap!CJ7*$D$2+crises_vs_mcap!CK7*$D$3+crises_vs_mcap!CL7*$D$4+crises_vs_mcap!CM7*$D$5+crises_vs_mcap!CN7*$D$6+crises_vs_mcap!CO7*$D$7)</f>
        <v>-1.3497643811982825E-2</v>
      </c>
      <c r="Q41" s="47">
        <f>(N(crises_vs_mcap!CP7)*$D$2+N(crises_vs_mcap!CQ7)*$D$3+N(crises_vs_mcap!CR7)*$D$4+N(crises_vs_mcap!CS7)*$D$5+N(crises_vs_mcap!CT7)*$D$6+N(crises_vs_mcap!CU7)*$D$7)/(ISNUMBER(crises_vs_mcap!CP7)*$D$2+ISNUMBER(crises_vs_mcap!CQ7)*$D$3+ISNUMBER(crises_vs_mcap!CR7)*$D$4+ISNUMBER(crises_vs_mcap!CS7)*$D$5+ISNUMBER(crises_vs_mcap!CT7)*$D$6+ISNUMBER(crises_vs_mcap!CU7)*$D$7)</f>
        <v>112.73235581622679</v>
      </c>
      <c r="R41" s="42">
        <f>SUM(crises_vs_mcap!CV7*$D$2+crises_vs_mcap!CW7*$D$3+crises_vs_mcap!CX7*$D$4+crises_vs_mcap!CY7*$D$5+crises_vs_mcap!CZ7*$D$6+crises_vs_mcap!DA7*$D$7)</f>
        <v>-1.476704131082242E-2</v>
      </c>
    </row>
    <row r="42" spans="1:18" x14ac:dyDescent="0.3">
      <c r="A42" s="39" t="s">
        <v>17</v>
      </c>
      <c r="B42" s="40" t="s">
        <v>18</v>
      </c>
      <c r="C42" s="40" t="s">
        <v>2</v>
      </c>
      <c r="D42" s="40" t="s">
        <v>3</v>
      </c>
      <c r="E42" s="40" t="s">
        <v>4</v>
      </c>
      <c r="F42" s="40" t="s">
        <v>18</v>
      </c>
      <c r="G42" s="42">
        <f>SUM(crises_vs_mcap!J8*$D$2+crises_vs_mcap!K8*$D$3+crises_vs_mcap!L8*$D$4+crises_vs_mcap!M8*$D$5+crises_vs_mcap!N8*$D$6+crises_vs_mcap!O8*$D$7)</f>
        <v>0.15511939684075096</v>
      </c>
      <c r="H42" s="42">
        <f>SUM(crises_vs_mcap!P8*$D$2+crises_vs_mcap!Q8*$D$3+crises_vs_mcap!R8*$D$4+crises_vs_mcap!S8*$D$5+crises_vs_mcap!T8*$D$6+crises_vs_mcap!U8*$D$7)</f>
        <v>2.0055313087046899E-3</v>
      </c>
      <c r="I42" s="44">
        <f>SUM(crises_vs_mcap!AB8*$D$2+crises_vs_mcap!AC8*$D$3+crises_vs_mcap!AD8*$D$4+crises_vs_mcap!AE8*$D$5+crises_vs_mcap!AF8*$D$6+crises_vs_mcap!AG8*$D$7)</f>
        <v>1.3353925045188446E-2</v>
      </c>
      <c r="J42" s="45">
        <f>(N(crises_vs_mcap!AH8)*$D$2+N(crises_vs_mcap!AI8)*$D$3+N(crises_vs_mcap!AJ8)*$D$4+N(crises_vs_mcap!AK8)*$D$5+N(crises_vs_mcap!AL8)*$D$6+N(crises_vs_mcap!AM8)*$D$7)/(ISNUMBER(crises_vs_mcap!AH8)*$D$2+ISNUMBER(crises_vs_mcap!AI8)*$D$3+ISNUMBER(crises_vs_mcap!AJ8)*$D$4+ISNUMBER(crises_vs_mcap!AK8)*$D$5+ISNUMBER(crises_vs_mcap!AL8)*$D$6+ISNUMBER(crises_vs_mcap!AM8)*$D$7)</f>
        <v>93.939784946236571</v>
      </c>
      <c r="K42" s="42">
        <f>SUM(crises_vs_mcap!AZ8*$D$2+crises_vs_mcap!BA8*$D$3+crises_vs_mcap!BB8*$D$4+crises_vs_mcap!BC8*$D$5+crises_vs_mcap!BD8*$D$6+crises_vs_mcap!BE8*$D$7)</f>
        <v>-4.1855671414162493E-2</v>
      </c>
      <c r="L42" s="42">
        <f>SUM(crises_vs_mcap!BL8*$D$2+crises_vs_mcap!BM8*$D$3+crises_vs_mcap!BN8*$D$4+crises_vs_mcap!BO8*$D$5+crises_vs_mcap!BP8*$D$6+crises_vs_mcap!BQ8*$D$7)</f>
        <v>5.1046948512549406E-3</v>
      </c>
      <c r="M42" s="42">
        <f>SUM(crises_vs_mcap!BR8*$D$2+crises_vs_mcap!BS8*$D$3+crises_vs_mcap!BT8*$D$4+crises_vs_mcap!BU8*$D$5+crises_vs_mcap!BV8*$D$6+crises_vs_mcap!BW8*$D$7)</f>
        <v>5.0210712742283716E-4</v>
      </c>
      <c r="N42" s="46">
        <f>SUM(crises_vs_mcap!BX8*$D$2+crises_vs_mcap!BY8*$D$3+crises_vs_mcap!BZ8*$D$4+crises_vs_mcap!CA8*$D$5+crises_vs_mcap!CB8*$D$6+crises_vs_mcap!CC8*$D$7)</f>
        <v>20.098799999999997</v>
      </c>
      <c r="O42" s="42">
        <f>SUM(crises_vs_mcap!CD8*$D$2+crises_vs_mcap!CE8*$D$3+crises_vs_mcap!CF8*$D$4+crises_vs_mcap!CG8*$D$5+crises_vs_mcap!CH8*$D$6+crises_vs_mcap!CI8*$D$7)</f>
        <v>0.14517704620513083</v>
      </c>
      <c r="P42" s="42">
        <f>SUM(crises_vs_mcap!CJ8*$D$2+crises_vs_mcap!CK8*$D$3+crises_vs_mcap!CL8*$D$4+crises_vs_mcap!CM8*$D$5+crises_vs_mcap!CN8*$D$6+crises_vs_mcap!CO8*$D$7)</f>
        <v>-1.2972194814452321E-2</v>
      </c>
      <c r="Q42" s="47">
        <f>(N(crises_vs_mcap!CP8)*$D$2+N(crises_vs_mcap!CQ8)*$D$3+N(crises_vs_mcap!CR8)*$D$4+N(crises_vs_mcap!CS8)*$D$5+N(crises_vs_mcap!CT8)*$D$6+N(crises_vs_mcap!CU8)*$D$7)/(ISNUMBER(crises_vs_mcap!CP8)*$D$2+ISNUMBER(crises_vs_mcap!CQ8)*$D$3+ISNUMBER(crises_vs_mcap!CR8)*$D$4+ISNUMBER(crises_vs_mcap!CS8)*$D$5+ISNUMBER(crises_vs_mcap!CT8)*$D$6+ISNUMBER(crises_vs_mcap!CU8)*$D$7)</f>
        <v>107.16207233626588</v>
      </c>
      <c r="R42" s="42">
        <f>SUM(crises_vs_mcap!CV8*$D$2+crises_vs_mcap!CW8*$D$3+crises_vs_mcap!CX8*$D$4+crises_vs_mcap!CY8*$D$5+crises_vs_mcap!CZ8*$D$6+crises_vs_mcap!DA8*$D$7)</f>
        <v>1.9636136738670859E-2</v>
      </c>
    </row>
    <row r="44" spans="1:18" x14ac:dyDescent="0.3">
      <c r="A44" s="43" t="s">
        <v>175</v>
      </c>
    </row>
    <row r="45" spans="1:18" x14ac:dyDescent="0.3">
      <c r="A45" s="36" t="s">
        <v>23</v>
      </c>
      <c r="B45" s="36" t="s">
        <v>24</v>
      </c>
      <c r="C45" s="36" t="s">
        <v>25</v>
      </c>
      <c r="D45" s="36" t="s">
        <v>26</v>
      </c>
      <c r="E45" s="36" t="s">
        <v>27</v>
      </c>
      <c r="F45" s="36" t="s">
        <v>30</v>
      </c>
      <c r="G45" s="41" t="s">
        <v>178</v>
      </c>
      <c r="H45" s="41" t="s">
        <v>181</v>
      </c>
      <c r="I45" s="41" t="s">
        <v>211</v>
      </c>
      <c r="J45" s="41" t="s">
        <v>184</v>
      </c>
      <c r="K45" s="41" t="s">
        <v>187</v>
      </c>
      <c r="L45" s="41" t="s">
        <v>190</v>
      </c>
      <c r="M45" s="41" t="s">
        <v>202</v>
      </c>
      <c r="N45" s="41" t="s">
        <v>203</v>
      </c>
      <c r="O45" s="41" t="s">
        <v>204</v>
      </c>
      <c r="P45" s="41" t="s">
        <v>205</v>
      </c>
      <c r="Q45" s="41" t="s">
        <v>206</v>
      </c>
      <c r="R45" s="41" t="s">
        <v>207</v>
      </c>
    </row>
    <row r="46" spans="1:18" x14ac:dyDescent="0.3">
      <c r="A46" s="33" t="s">
        <v>8</v>
      </c>
      <c r="B46" s="34" t="s">
        <v>9</v>
      </c>
      <c r="C46" s="34" t="s">
        <v>2</v>
      </c>
      <c r="D46" s="34" t="s">
        <v>10</v>
      </c>
      <c r="E46" s="34" t="s">
        <v>4</v>
      </c>
      <c r="F46" s="34"/>
      <c r="G46" s="42">
        <f>SUM(crises_vs_mcap!J2*$E$2+crises_vs_mcap!K2*$E$3+crises_vs_mcap!L2*$E$4+crises_vs_mcap!M2*$E$5+crises_vs_mcap!N2*$E$6+crises_vs_mcap!O2*$E$7)</f>
        <v>0</v>
      </c>
      <c r="H46" s="42">
        <f>SUM(crises_vs_mcap!P2*$E$2+crises_vs_mcap!Q2*$E$3+crises_vs_mcap!R2*$E$4+crises_vs_mcap!S2*$E$5+crises_vs_mcap!T2*$E$6+crises_vs_mcap!U2*$E$7)</f>
        <v>0</v>
      </c>
      <c r="I46" s="44">
        <f>SUM(crises_vs_mcap!AB2*$E$2+crises_vs_mcap!AC2*$E$3+crises_vs_mcap!AD2*$E$4+crises_vs_mcap!AE2*$E$5+crises_vs_mcap!AF2*$E$6+crises_vs_mcap!AG2*$E$7)</f>
        <v>0</v>
      </c>
      <c r="J46" s="45">
        <f>(N(crises_vs_mcap!AH2)*$E$2+N(crises_vs_mcap!AI2)*$E$3+N(crises_vs_mcap!AJ2)*$E$4+N(crises_vs_mcap!AK2)*$E$5+N(crises_vs_mcap!AL2)*$E$6+N(crises_vs_mcap!AM2)*$E$7)/(ISNUMBER(crises_vs_mcap!AH2)*$E$2+ISNUMBER(crises_vs_mcap!AI2)*$E$3+ISNUMBER(crises_vs_mcap!AJ2)*$E$4+ISNUMBER(crises_vs_mcap!AK2)*$E$5+ISNUMBER(crises_vs_mcap!AL2)*$E$6+ISNUMBER(crises_vs_mcap!AM2)*$E$7)</f>
        <v>0</v>
      </c>
      <c r="K46" s="42">
        <f>SUM(crises_vs_mcap!AZ2*$E$2+crises_vs_mcap!BA2*$E$3+crises_vs_mcap!BB2*$E$4+crises_vs_mcap!BC2*$E$5+crises_vs_mcap!BD2*$E$6+crises_vs_mcap!BE2*$E$7)</f>
        <v>0</v>
      </c>
      <c r="L46" s="42">
        <f>SUM(crises_vs_mcap!BL2*$E$2+crises_vs_mcap!BM2*$E$3+crises_vs_mcap!BN2*$E$4+crises_vs_mcap!BO2*$E$5+crises_vs_mcap!BP2*$E$6+crises_vs_mcap!BQ2*$E$7)</f>
        <v>0</v>
      </c>
      <c r="M46" s="42">
        <f>SUM(crises_vs_mcap!BR2*$E$2+crises_vs_mcap!BS2*$E$3+crises_vs_mcap!BT2*$E$4+crises_vs_mcap!BU2*$E$5+crises_vs_mcap!BV2*$E$6+crises_vs_mcap!BW2*$E$7)</f>
        <v>0</v>
      </c>
      <c r="N46" s="46">
        <f>SUM(crises_vs_mcap!BX2*$E$2+crises_vs_mcap!BY2*$E$3+crises_vs_mcap!BZ2*$E$4+crises_vs_mcap!CA2*$E$5+crises_vs_mcap!CB2*$E$6+crises_vs_mcap!CC2*$E$7)</f>
        <v>0</v>
      </c>
      <c r="O46" s="42">
        <f>SUM(crises_vs_mcap!CD2*$E$2+crises_vs_mcap!CE2*$E$3+crises_vs_mcap!CF2*$E$4+crises_vs_mcap!CG2*$E$5+crises_vs_mcap!CH2*$E$6+crises_vs_mcap!CI2*$E$7)</f>
        <v>0</v>
      </c>
      <c r="P46" s="42">
        <f>SUM(crises_vs_mcap!CJ2*$E$2+crises_vs_mcap!CK2*$E$3+crises_vs_mcap!CL2*$E$4+crises_vs_mcap!CM2*$E$5+crises_vs_mcap!CN2*$E$6+crises_vs_mcap!CO2*$E$7)</f>
        <v>0</v>
      </c>
      <c r="Q46" s="47">
        <f>(N(crises_vs_mcap!CP2)*$E$2+N(crises_vs_mcap!CQ2)*$E$3+N(crises_vs_mcap!CR2)*$E$4+N(crises_vs_mcap!CS2)*$E$5+N(crises_vs_mcap!CT2)*$E$6+N(crises_vs_mcap!CU2)*$E$7)/(ISNUMBER(crises_vs_mcap!CP2)*$E$2+ISNUMBER(crises_vs_mcap!CQ2)*$E$3+ISNUMBER(crises_vs_mcap!CR2)*$E$4+ISNUMBER(crises_vs_mcap!CS2)*$E$5+ISNUMBER(crises_vs_mcap!CT2)*$E$6+ISNUMBER(crises_vs_mcap!CU2)*$E$7)</f>
        <v>0</v>
      </c>
      <c r="R46" s="42">
        <f>SUM(crises_vs_mcap!CV2*$E$2+crises_vs_mcap!CW2*$E$3+crises_vs_mcap!CX2*$E$4+crises_vs_mcap!CY2*$E$5+crises_vs_mcap!CZ2*$E$6+crises_vs_mcap!DA2*$E$7)</f>
        <v>0</v>
      </c>
    </row>
    <row r="47" spans="1:18" x14ac:dyDescent="0.3">
      <c r="A47" s="37" t="s">
        <v>11</v>
      </c>
      <c r="B47" s="38" t="s">
        <v>12</v>
      </c>
      <c r="C47" s="38" t="s">
        <v>2</v>
      </c>
      <c r="D47" s="38" t="s">
        <v>3</v>
      </c>
      <c r="E47" s="38" t="s">
        <v>4</v>
      </c>
      <c r="F47" s="38" t="s">
        <v>12</v>
      </c>
      <c r="G47" s="42">
        <f>SUM(crises_vs_mcap!J3*$E$2+crises_vs_mcap!K3*$E$3+crises_vs_mcap!L3*$E$4+crises_vs_mcap!M3*$E$5+crises_vs_mcap!N3*$E$6+crises_vs_mcap!O3*$E$7)</f>
        <v>1.3176277122632363E-2</v>
      </c>
      <c r="H47" s="42">
        <f>SUM(crises_vs_mcap!P3*$E$2+crises_vs_mcap!Q3*$E$3+crises_vs_mcap!R3*$E$4+crises_vs_mcap!S3*$E$5+crises_vs_mcap!T3*$E$6+crises_vs_mcap!U3*$E$7)</f>
        <v>1.2994201903902502E-2</v>
      </c>
      <c r="I47" s="44">
        <f>SUM(crises_vs_mcap!AB3*$E$2+crises_vs_mcap!AC3*$E$3+crises_vs_mcap!AD3*$E$4+crises_vs_mcap!AE3*$E$5+crises_vs_mcap!AF3*$E$6+crises_vs_mcap!AG3*$E$7)</f>
        <v>1.5069038010955819E-2</v>
      </c>
      <c r="J47" s="45">
        <f>(N(crises_vs_mcap!AH3)*$E$2+N(crises_vs_mcap!AI3)*$E$3+N(crises_vs_mcap!AJ3)*$E$4+N(crises_vs_mcap!AK3)*$E$5+N(crises_vs_mcap!AL3)*$E$6+N(crises_vs_mcap!AM3)*$E$7)/(ISNUMBER(crises_vs_mcap!AH3)*$E$2+ISNUMBER(crises_vs_mcap!AI3)*$E$3+ISNUMBER(crises_vs_mcap!AJ3)*$E$4+ISNUMBER(crises_vs_mcap!AK3)*$E$5+ISNUMBER(crises_vs_mcap!AL3)*$E$6+ISNUMBER(crises_vs_mcap!AM3)*$E$7)</f>
        <v>25.571796372147464</v>
      </c>
      <c r="K47" s="42">
        <f>SUM(crises_vs_mcap!AZ3*$E$2+crises_vs_mcap!BA3*$E$3+crises_vs_mcap!BB3*$E$4+crises_vs_mcap!BC3*$E$5+crises_vs_mcap!BD3*$E$6+crises_vs_mcap!BE3*$E$7)</f>
        <v>-1.8186137759201533E-2</v>
      </c>
      <c r="L47" s="42">
        <f>SUM(crises_vs_mcap!BL3*$E$2+crises_vs_mcap!BM3*$E$3+crises_vs_mcap!BN3*$E$4+crises_vs_mcap!BO3*$E$5+crises_vs_mcap!BP3*$E$6+crises_vs_mcap!BQ3*$E$7)</f>
        <v>1.6764152773998311E-2</v>
      </c>
      <c r="M47" s="42">
        <f>SUM(crises_vs_mcap!BR3*$E$2+crises_vs_mcap!BS3*$E$3+crises_vs_mcap!BT3*$E$4+crises_vs_mcap!BU3*$E$5+crises_vs_mcap!BV3*$E$6+crises_vs_mcap!BW3*$E$7)</f>
        <v>1.0877597621142428E-2</v>
      </c>
      <c r="N47" s="46">
        <f>SUM(crises_vs_mcap!BX3*$E$2+crises_vs_mcap!BY3*$E$3+crises_vs_mcap!BZ3*$E$4+crises_vs_mcap!CA3*$E$5+crises_vs_mcap!CB3*$E$6+crises_vs_mcap!CC3*$E$7)</f>
        <v>-8.6883999999999997</v>
      </c>
      <c r="O47" s="42">
        <f>SUM(crises_vs_mcap!CD3*$E$2+crises_vs_mcap!CE3*$E$3+crises_vs_mcap!CF3*$E$4+crises_vs_mcap!CG3*$E$5+crises_vs_mcap!CH3*$E$6+crises_vs_mcap!CI3*$E$7)</f>
        <v>-3.1357971367046008E-3</v>
      </c>
      <c r="P47" s="42">
        <f>SUM(crises_vs_mcap!CJ3*$E$2+crises_vs_mcap!CK3*$E$3+crises_vs_mcap!CL3*$E$4+crises_vs_mcap!CM3*$E$5+crises_vs_mcap!CN3*$E$6+crises_vs_mcap!CO3*$E$7)</f>
        <v>-3.5036411048314682E-3</v>
      </c>
      <c r="Q47" s="47">
        <f>(N(crises_vs_mcap!CP3)*$E$2+N(crises_vs_mcap!CQ3)*$E$3+N(crises_vs_mcap!CR3)*$E$4+N(crises_vs_mcap!CS3)*$E$5+N(crises_vs_mcap!CT3)*$E$6+N(crises_vs_mcap!CU3)*$E$7)/(ISNUMBER(crises_vs_mcap!CP3)*$E$2+ISNUMBER(crises_vs_mcap!CQ3)*$E$3+ISNUMBER(crises_vs_mcap!CR3)*$E$4+ISNUMBER(crises_vs_mcap!CS3)*$E$5+ISNUMBER(crises_vs_mcap!CT3)*$E$6+ISNUMBER(crises_vs_mcap!CU3)*$E$7)</f>
        <v>35.739613809245185</v>
      </c>
      <c r="R47" s="42">
        <f>SUM(crises_vs_mcap!CV3*$E$2+crises_vs_mcap!CW3*$E$3+crises_vs_mcap!CX3*$E$4+crises_vs_mcap!CY3*$E$5+crises_vs_mcap!CZ3*$E$6+crises_vs_mcap!DA3*$E$7)</f>
        <v>-1.9613815554658964E-2</v>
      </c>
    </row>
    <row r="48" spans="1:18" x14ac:dyDescent="0.3">
      <c r="A48" s="39" t="s">
        <v>14</v>
      </c>
      <c r="B48" s="40" t="s">
        <v>15</v>
      </c>
      <c r="C48" s="40" t="s">
        <v>2</v>
      </c>
      <c r="D48" s="40" t="s">
        <v>3</v>
      </c>
      <c r="E48" s="40" t="s">
        <v>4</v>
      </c>
      <c r="F48" s="40" t="s">
        <v>15</v>
      </c>
      <c r="G48" s="42">
        <f>SUM(crises_vs_mcap!J4*$E$2+crises_vs_mcap!K4*$E$3+crises_vs_mcap!L4*$E$4+crises_vs_mcap!M4*$E$5+crises_vs_mcap!N4*$E$6+crises_vs_mcap!O4*$E$7)</f>
        <v>1.1020871027918783E-2</v>
      </c>
      <c r="H48" s="42">
        <f>SUM(crises_vs_mcap!P4*$E$2+crises_vs_mcap!Q4*$E$3+crises_vs_mcap!R4*$E$4+crises_vs_mcap!S4*$E$5+crises_vs_mcap!T4*$E$6+crises_vs_mcap!U4*$E$7)</f>
        <v>6.5552310511279941E-3</v>
      </c>
      <c r="I48" s="44">
        <f>SUM(crises_vs_mcap!AB4*$E$2+crises_vs_mcap!AC4*$E$3+crises_vs_mcap!AD4*$E$4+crises_vs_mcap!AE4*$E$5+crises_vs_mcap!AF4*$E$6+crises_vs_mcap!AG4*$E$7)</f>
        <v>8.1391985713275047E-3</v>
      </c>
      <c r="J48" s="45">
        <f>(N(crises_vs_mcap!AH4)*$E$2+N(crises_vs_mcap!AI4)*$E$3+N(crises_vs_mcap!AJ4)*$E$4+N(crises_vs_mcap!AK4)*$E$5+N(crises_vs_mcap!AL4)*$E$6+N(crises_vs_mcap!AM4)*$E$7)/(ISNUMBER(crises_vs_mcap!AH4)*$E$2+ISNUMBER(crises_vs_mcap!AI4)*$E$3+ISNUMBER(crises_vs_mcap!AJ4)*$E$4+ISNUMBER(crises_vs_mcap!AK4)*$E$5+ISNUMBER(crises_vs_mcap!AL4)*$E$6+ISNUMBER(crises_vs_mcap!AM4)*$E$7)</f>
        <v>-84.812521942656531</v>
      </c>
      <c r="K48" s="42">
        <f>SUM(crises_vs_mcap!AZ4*$E$2+crises_vs_mcap!BA4*$E$3+crises_vs_mcap!BB4*$E$4+crises_vs_mcap!BC4*$E$5+crises_vs_mcap!BD4*$E$6+crises_vs_mcap!BE4*$E$7)</f>
        <v>4.8581042445049324E-4</v>
      </c>
      <c r="L48" s="42">
        <f>SUM(crises_vs_mcap!BL4*$E$2+crises_vs_mcap!BM4*$E$3+crises_vs_mcap!BN4*$E$4+crises_vs_mcap!BO4*$E$5+crises_vs_mcap!BP4*$E$6+crises_vs_mcap!BQ4*$E$7)</f>
        <v>1.2801082380153256E-2</v>
      </c>
      <c r="M48" s="42">
        <f>SUM(crises_vs_mcap!BR4*$E$2+crises_vs_mcap!BS4*$E$3+crises_vs_mcap!BT4*$E$4+crises_vs_mcap!BU4*$E$5+crises_vs_mcap!BV4*$E$6+crises_vs_mcap!BW4*$E$7)</f>
        <v>5.0094185529156419E-3</v>
      </c>
      <c r="N48" s="46">
        <f>SUM(crises_vs_mcap!BX4*$E$2+crises_vs_mcap!BY4*$E$3+crises_vs_mcap!BZ4*$E$4+crises_vs_mcap!CA4*$E$5+crises_vs_mcap!CB4*$E$6+crises_vs_mcap!CC4*$E$7)</f>
        <v>-0.27100000000000002</v>
      </c>
      <c r="O48" s="42">
        <f>SUM(crises_vs_mcap!CD4*$E$2+crises_vs_mcap!CE4*$E$3+crises_vs_mcap!CF4*$E$4+crises_vs_mcap!CG4*$E$5+crises_vs_mcap!CH4*$E$6+crises_vs_mcap!CI4*$E$7)</f>
        <v>-2.3066618830581203E-3</v>
      </c>
      <c r="P48" s="42">
        <f>SUM(crises_vs_mcap!CJ4*$E$2+crises_vs_mcap!CK4*$E$3+crises_vs_mcap!CL4*$E$4+crises_vs_mcap!CM4*$E$5+crises_vs_mcap!CN4*$E$6+crises_vs_mcap!CO4*$E$7)</f>
        <v>7.5430673833824765E-3</v>
      </c>
      <c r="Q48" s="47">
        <f>(N(crises_vs_mcap!CP4)*$E$2+N(crises_vs_mcap!CQ4)*$E$3+N(crises_vs_mcap!CR4)*$E$4+N(crises_vs_mcap!CS4)*$E$5+N(crises_vs_mcap!CT4)*$E$6+N(crises_vs_mcap!CU4)*$E$7)/(ISNUMBER(crises_vs_mcap!CP4)*$E$2+ISNUMBER(crises_vs_mcap!CQ4)*$E$3+ISNUMBER(crises_vs_mcap!CR4)*$E$4+ISNUMBER(crises_vs_mcap!CS4)*$E$5+ISNUMBER(crises_vs_mcap!CT4)*$E$6+ISNUMBER(crises_vs_mcap!CU4)*$E$7)</f>
        <v>-84.495377413692225</v>
      </c>
      <c r="R48" s="42">
        <f>SUM(crises_vs_mcap!CV4*$E$2+crises_vs_mcap!CW4*$E$3+crises_vs_mcap!CX4*$E$4+crises_vs_mcap!CY4*$E$5+crises_vs_mcap!CZ4*$E$6+crises_vs_mcap!DA4*$E$7)</f>
        <v>-1.8575004159263206E-2</v>
      </c>
    </row>
    <row r="49" spans="1:18" x14ac:dyDescent="0.3">
      <c r="A49" s="37" t="s">
        <v>0</v>
      </c>
      <c r="B49" s="38" t="s">
        <v>1</v>
      </c>
      <c r="C49" s="38" t="s">
        <v>2</v>
      </c>
      <c r="D49" s="38" t="s">
        <v>3</v>
      </c>
      <c r="E49" s="38" t="s">
        <v>4</v>
      </c>
      <c r="F49" s="38" t="s">
        <v>1</v>
      </c>
      <c r="G49" s="42">
        <f>SUM(crises_vs_mcap!J5*$E$2+crises_vs_mcap!K5*$E$3+crises_vs_mcap!L5*$E$4+crises_vs_mcap!M5*$E$5+crises_vs_mcap!N5*$E$6+crises_vs_mcap!O5*$E$7)</f>
        <v>6.8221877741694414E-2</v>
      </c>
      <c r="H49" s="42">
        <f>SUM(crises_vs_mcap!P5*$E$2+crises_vs_mcap!Q5*$E$3+crises_vs_mcap!R5*$E$4+crises_vs_mcap!S5*$E$5+crises_vs_mcap!T5*$E$6+crises_vs_mcap!U5*$E$7)</f>
        <v>5.7617131404970587E-2</v>
      </c>
      <c r="I49" s="44">
        <f>SUM(crises_vs_mcap!AB5*$E$2+crises_vs_mcap!AC5*$E$3+crises_vs_mcap!AD5*$E$4+crises_vs_mcap!AE5*$E$5+crises_vs_mcap!AF5*$E$6+crises_vs_mcap!AG5*$E$7)</f>
        <v>6.2861128122787227E-2</v>
      </c>
      <c r="J49" s="45">
        <f>(N(crises_vs_mcap!AH5)*$E$2+N(crises_vs_mcap!AI5)*$E$3+N(crises_vs_mcap!AJ5)*$E$4+N(crises_vs_mcap!AK5)*$E$5+N(crises_vs_mcap!AL5)*$E$6+N(crises_vs_mcap!AM5)*$E$7)/(ISNUMBER(crises_vs_mcap!AH5)*$E$2+ISNUMBER(crises_vs_mcap!AI5)*$E$3+ISNUMBER(crises_vs_mcap!AJ5)*$E$4+ISNUMBER(crises_vs_mcap!AK5)*$E$5+ISNUMBER(crises_vs_mcap!AL5)*$E$6+ISNUMBER(crises_vs_mcap!AM5)*$E$7)</f>
        <v>-26.407255705090698</v>
      </c>
      <c r="K49" s="42">
        <f>SUM(crises_vs_mcap!AZ5*$E$2+crises_vs_mcap!BA5*$E$3+crises_vs_mcap!BB5*$E$4+crises_vs_mcap!BC5*$E$5+crises_vs_mcap!BD5*$E$6+crises_vs_mcap!BE5*$E$7)</f>
        <v>-4.1292390191425478E-2</v>
      </c>
      <c r="L49" s="42">
        <f>SUM(crises_vs_mcap!BL5*$E$2+crises_vs_mcap!BM5*$E$3+crises_vs_mcap!BN5*$E$4+crises_vs_mcap!BO5*$E$5+crises_vs_mcap!BP5*$E$6+crises_vs_mcap!BQ5*$E$7)</f>
        <v>0.10883859758985776</v>
      </c>
      <c r="M49" s="42">
        <f>SUM(crises_vs_mcap!BR5*$E$2+crises_vs_mcap!BS5*$E$3+crises_vs_mcap!BT5*$E$4+crises_vs_mcap!BU5*$E$5+crises_vs_mcap!BV5*$E$6+crises_vs_mcap!BW5*$E$7)</f>
        <v>5.5500527122210513E-2</v>
      </c>
      <c r="N49" s="46">
        <f>SUM(crises_vs_mcap!BX5*$E$2+crises_vs_mcap!BY5*$E$3+crises_vs_mcap!BZ5*$E$4+crises_vs_mcap!CA5*$E$5+crises_vs_mcap!CB5*$E$6+crises_vs_mcap!CC5*$E$7)</f>
        <v>-8.6883999999999997</v>
      </c>
      <c r="O49" s="42">
        <f>SUM(crises_vs_mcap!CD5*$E$2+crises_vs_mcap!CE5*$E$3+crises_vs_mcap!CF5*$E$4+crises_vs_mcap!CG5*$E$5+crises_vs_mcap!CH5*$E$6+crises_vs_mcap!CI5*$E$7)</f>
        <v>-4.0619379052739574E-2</v>
      </c>
      <c r="P49" s="42">
        <f>SUM(crises_vs_mcap!CJ5*$E$2+crises_vs_mcap!CK5*$E$3+crises_vs_mcap!CL5*$E$4+crises_vs_mcap!CM5*$E$5+crises_vs_mcap!CN5*$E$6+crises_vs_mcap!CO5*$E$7)</f>
        <v>1.1611311780978753E-2</v>
      </c>
      <c r="Q49" s="47">
        <f>(N(crises_vs_mcap!CP5)*$E$2+N(crises_vs_mcap!CQ5)*$E$3+N(crises_vs_mcap!CR5)*$E$4+N(crises_vs_mcap!CS5)*$E$5+N(crises_vs_mcap!CT5)*$E$6+N(crises_vs_mcap!CU5)*$E$7)/(ISNUMBER(crises_vs_mcap!CP5)*$E$2+ISNUMBER(crises_vs_mcap!CQ5)*$E$3+ISNUMBER(crises_vs_mcap!CR5)*$E$4+ISNUMBER(crises_vs_mcap!CS5)*$E$5+ISNUMBER(crises_vs_mcap!CT5)*$E$6+ISNUMBER(crises_vs_mcap!CU5)*$E$7)</f>
        <v>-16.239438267992981</v>
      </c>
      <c r="R49" s="42">
        <f>SUM(crises_vs_mcap!CV5*$E$2+crises_vs_mcap!CW5*$E$3+crises_vs_mcap!CX5*$E$4+crises_vs_mcap!CY5*$E$5+crises_vs_mcap!CZ5*$E$6+crises_vs_mcap!DA5*$E$7)</f>
        <v>-0.15321128779921583</v>
      </c>
    </row>
    <row r="50" spans="1:18" x14ac:dyDescent="0.3">
      <c r="A50" s="39" t="s">
        <v>21</v>
      </c>
      <c r="B50" s="40" t="s">
        <v>22</v>
      </c>
      <c r="C50" s="40" t="s">
        <v>2</v>
      </c>
      <c r="D50" s="40" t="s">
        <v>3</v>
      </c>
      <c r="E50" s="40" t="s">
        <v>4</v>
      </c>
      <c r="F50" s="40" t="s">
        <v>22</v>
      </c>
      <c r="G50" s="42">
        <f>SUM(crises_vs_mcap!J6*$E$2+crises_vs_mcap!K6*$E$3+crises_vs_mcap!L6*$E$4+crises_vs_mcap!M6*$E$5+crises_vs_mcap!N6*$E$6+crises_vs_mcap!O6*$E$7)</f>
        <v>1.3199637915970491E-2</v>
      </c>
      <c r="H50" s="42">
        <f>SUM(crises_vs_mcap!P6*$E$2+crises_vs_mcap!Q6*$E$3+crises_vs_mcap!R6*$E$4+crises_vs_mcap!S6*$E$5+crises_vs_mcap!T6*$E$6+crises_vs_mcap!U6*$E$7)</f>
        <v>-8.5044035877684474E-3</v>
      </c>
      <c r="I50" s="44">
        <f>SUM(crises_vs_mcap!AB6*$E$2+crises_vs_mcap!AC6*$E$3+crises_vs_mcap!AD6*$E$4+crises_vs_mcap!AE6*$E$5+crises_vs_mcap!AF6*$E$6+crises_vs_mcap!AG6*$E$7)</f>
        <v>-6.95118194425433E-3</v>
      </c>
      <c r="J50" s="45">
        <f>(N(crises_vs_mcap!AH6)*$E$2+N(crises_vs_mcap!AI6)*$E$3+N(crises_vs_mcap!AJ6)*$E$4+N(crises_vs_mcap!AK6)*$E$5+N(crises_vs_mcap!AL6)*$E$6+N(crises_vs_mcap!AM6)*$E$7)/(ISNUMBER(crises_vs_mcap!AH6)*$E$2+ISNUMBER(crises_vs_mcap!AI6)*$E$3+ISNUMBER(crises_vs_mcap!AJ6)*$E$4+ISNUMBER(crises_vs_mcap!AK6)*$E$5+ISNUMBER(crises_vs_mcap!AL6)*$E$6+ISNUMBER(crises_vs_mcap!AM6)*$E$7)</f>
        <v>34.209830310122882</v>
      </c>
      <c r="K50" s="42">
        <f>SUM(crises_vs_mcap!AZ6*$E$2+crises_vs_mcap!BA6*$E$3+crises_vs_mcap!BB6*$E$4+crises_vs_mcap!BC6*$E$5+crises_vs_mcap!BD6*$E$6+crises_vs_mcap!BE6*$E$7)</f>
        <v>-1.121661157564053E-2</v>
      </c>
      <c r="L50" s="42">
        <f>SUM(crises_vs_mcap!BL6*$E$2+crises_vs_mcap!BM6*$E$3+crises_vs_mcap!BN6*$E$4+crises_vs_mcap!BO6*$E$5+crises_vs_mcap!BP6*$E$6+crises_vs_mcap!BQ6*$E$7)</f>
        <v>-2.1528132609197489E-2</v>
      </c>
      <c r="M50" s="42">
        <f>SUM(crises_vs_mcap!BR6*$E$2+crises_vs_mcap!BS6*$E$3+crises_vs_mcap!BT6*$E$4+crises_vs_mcap!BU6*$E$5+crises_vs_mcap!BV6*$E$6+crises_vs_mcap!BW6*$E$7)</f>
        <v>-1.0558208428178119E-2</v>
      </c>
      <c r="N50" s="46">
        <f>SUM(crises_vs_mcap!BX6*$E$2+crises_vs_mcap!BY6*$E$3+crises_vs_mcap!BZ6*$E$4+crises_vs_mcap!CA6*$E$5+crises_vs_mcap!CB6*$E$6+crises_vs_mcap!CC6*$E$7)</f>
        <v>-0.76250000000000018</v>
      </c>
      <c r="O50" s="42">
        <f>SUM(crises_vs_mcap!CD6*$E$2+crises_vs_mcap!CE6*$E$3+crises_vs_mcap!CF6*$E$4+crises_vs_mcap!CG6*$E$5+crises_vs_mcap!CH6*$E$6+crises_vs_mcap!CI6*$E$7)</f>
        <v>4.0068535321315324E-2</v>
      </c>
      <c r="P50" s="42">
        <f>SUM(crises_vs_mcap!CJ6*$E$2+crises_vs_mcap!CK6*$E$3+crises_vs_mcap!CL6*$E$4+crises_vs_mcap!CM6*$E$5+crises_vs_mcap!CN6*$E$6+crises_vs_mcap!CO6*$E$7)</f>
        <v>-1.9462976052627697E-2</v>
      </c>
      <c r="Q50" s="47">
        <f>(N(crises_vs_mcap!CP6)*$E$2+N(crises_vs_mcap!CQ6)*$E$3+N(crises_vs_mcap!CR6)*$E$4+N(crises_vs_mcap!CS6)*$E$5+N(crises_vs_mcap!CT6)*$E$6+N(crises_vs_mcap!CU6)*$E$7)/(ISNUMBER(crises_vs_mcap!CP6)*$E$2+ISNUMBER(crises_vs_mcap!CQ6)*$E$3+ISNUMBER(crises_vs_mcap!CR6)*$E$4+ISNUMBER(crises_vs_mcap!CS6)*$E$5+ISNUMBER(crises_vs_mcap!CT6)*$E$6+ISNUMBER(crises_vs_mcap!CU6)*$E$7)</f>
        <v>44.467290813341137</v>
      </c>
      <c r="R50" s="42">
        <f>SUM(crises_vs_mcap!CV6*$E$2+crises_vs_mcap!CW6*$E$3+crises_vs_mcap!CX6*$E$4+crises_vs_mcap!CY6*$E$5+crises_vs_mcap!CZ6*$E$6+crises_vs_mcap!DA6*$E$7)</f>
        <v>6.7531725825396044E-2</v>
      </c>
    </row>
    <row r="51" spans="1:18" x14ac:dyDescent="0.3">
      <c r="A51" s="37" t="s">
        <v>19</v>
      </c>
      <c r="B51" s="38" t="s">
        <v>20</v>
      </c>
      <c r="C51" s="38" t="s">
        <v>2</v>
      </c>
      <c r="D51" s="38" t="s">
        <v>3</v>
      </c>
      <c r="E51" s="38" t="s">
        <v>4</v>
      </c>
      <c r="F51" s="38" t="s">
        <v>20</v>
      </c>
      <c r="G51" s="42">
        <f>SUM(crises_vs_mcap!J7*$E$2+crises_vs_mcap!K7*$E$3+crises_vs_mcap!L7*$E$4+crises_vs_mcap!M7*$E$5+crises_vs_mcap!N7*$E$6+crises_vs_mcap!O7*$E$7)</f>
        <v>1.2695333543216402E-2</v>
      </c>
      <c r="H51" s="42">
        <f>SUM(crises_vs_mcap!P7*$E$2+crises_vs_mcap!Q7*$E$3+crises_vs_mcap!R7*$E$4+crises_vs_mcap!S7*$E$5+crises_vs_mcap!T7*$E$6+crises_vs_mcap!U7*$E$7)</f>
        <v>-1.5770941149492162E-2</v>
      </c>
      <c r="I51" s="44">
        <f>SUM(crises_vs_mcap!AB7*$E$2+crises_vs_mcap!AC7*$E$3+crises_vs_mcap!AD7*$E$4+crises_vs_mcap!AE7*$E$5+crises_vs_mcap!AF7*$E$6+crises_vs_mcap!AG7*$E$7)</f>
        <v>-1.3707975987189569E-2</v>
      </c>
      <c r="J51" s="45">
        <f>(N(crises_vs_mcap!AH7)*$E$2+N(crises_vs_mcap!AI7)*$E$3+N(crises_vs_mcap!AJ7)*$E$4+N(crises_vs_mcap!AK7)*$E$5+N(crises_vs_mcap!AL7)*$E$6+N(crises_vs_mcap!AM7)*$E$7)/(ISNUMBER(crises_vs_mcap!AH7)*$E$2+ISNUMBER(crises_vs_mcap!AI7)*$E$3+ISNUMBER(crises_vs_mcap!AJ7)*$E$4+ISNUMBER(crises_vs_mcap!AK7)*$E$5+ISNUMBER(crises_vs_mcap!AL7)*$E$6+ISNUMBER(crises_vs_mcap!AM7)*$E$7)</f>
        <v>48.630076067875954</v>
      </c>
      <c r="K51" s="42">
        <f>SUM(crises_vs_mcap!AZ7*$E$2+crises_vs_mcap!BA7*$E$3+crises_vs_mcap!BB7*$E$4+crises_vs_mcap!BC7*$E$5+crises_vs_mcap!BD7*$E$6+crises_vs_mcap!BE7*$E$7)</f>
        <v>-6.4166910553484892E-3</v>
      </c>
      <c r="L51" s="42">
        <f>SUM(crises_vs_mcap!BL7*$E$2+crises_vs_mcap!BM7*$E$3+crises_vs_mcap!BN7*$E$4+crises_vs_mcap!BO7*$E$5+crises_vs_mcap!BP7*$E$6+crises_vs_mcap!BQ7*$E$7)</f>
        <v>-3.0074740358871442E-2</v>
      </c>
      <c r="M51" s="42">
        <f>SUM(crises_vs_mcap!BR7*$E$2+crises_vs_mcap!BS7*$E$3+crises_vs_mcap!BT7*$E$4+crises_vs_mcap!BU7*$E$5+crises_vs_mcap!BV7*$E$6+crises_vs_mcap!BW7*$E$7)</f>
        <v>-1.7749330909459085E-2</v>
      </c>
      <c r="N51" s="46">
        <f>SUM(crises_vs_mcap!BX7*$E$2+crises_vs_mcap!BY7*$E$3+crises_vs_mcap!BZ7*$E$4+crises_vs_mcap!CA7*$E$5+crises_vs_mcap!CB7*$E$6+crises_vs_mcap!CC7*$E$7)</f>
        <v>-0.76250000000000018</v>
      </c>
      <c r="O51" s="42">
        <f>SUM(crises_vs_mcap!CD7*$E$2+crises_vs_mcap!CE7*$E$3+crises_vs_mcap!CF7*$E$4+crises_vs_mcap!CG7*$E$5+crises_vs_mcap!CH7*$E$6+crises_vs_mcap!CI7*$E$7)</f>
        <v>4.4079807666482812E-2</v>
      </c>
      <c r="P51" s="42">
        <f>SUM(crises_vs_mcap!CJ7*$E$2+crises_vs_mcap!CK7*$E$3+crises_vs_mcap!CL7*$E$4+crises_vs_mcap!CM7*$E$5+crises_vs_mcap!CN7*$E$6+crises_vs_mcap!CO7*$E$7)</f>
        <v>-2.143862273094151E-2</v>
      </c>
      <c r="Q51" s="47">
        <f>(N(crises_vs_mcap!CP7)*$E$2+N(crises_vs_mcap!CQ7)*$E$3+N(crises_vs_mcap!CR7)*$E$4+N(crises_vs_mcap!CS7)*$E$5+N(crises_vs_mcap!CT7)*$E$6+N(crises_vs_mcap!CU7)*$E$7)/(ISNUMBER(crises_vs_mcap!CP7)*$E$2+ISNUMBER(crises_vs_mcap!CQ7)*$E$3+ISNUMBER(crises_vs_mcap!CR7)*$E$4+ISNUMBER(crises_vs_mcap!CS7)*$E$5+ISNUMBER(crises_vs_mcap!CT7)*$E$6+ISNUMBER(crises_vs_mcap!CU7)*$E$7)</f>
        <v>58.887536571094216</v>
      </c>
      <c r="R51" s="42">
        <f>SUM(crises_vs_mcap!CV7*$E$2+crises_vs_mcap!CW7*$E$3+crises_vs_mcap!CX7*$E$4+crises_vs_mcap!CY7*$E$5+crises_vs_mcap!CZ7*$E$6+crises_vs_mcap!DA7*$E$7)</f>
        <v>7.7862398534226746E-2</v>
      </c>
    </row>
    <row r="52" spans="1:18" x14ac:dyDescent="0.3">
      <c r="A52" s="39" t="s">
        <v>17</v>
      </c>
      <c r="B52" s="40" t="s">
        <v>18</v>
      </c>
      <c r="C52" s="40" t="s">
        <v>2</v>
      </c>
      <c r="D52" s="40" t="s">
        <v>3</v>
      </c>
      <c r="E52" s="40" t="s">
        <v>4</v>
      </c>
      <c r="F52" s="40" t="s">
        <v>18</v>
      </c>
      <c r="G52" s="42">
        <f>SUM(crises_vs_mcap!J8*$E$2+crises_vs_mcap!K8*$E$3+crises_vs_mcap!L8*$E$4+crises_vs_mcap!M8*$E$5+crises_vs_mcap!N8*$E$6+crises_vs_mcap!O8*$E$7)</f>
        <v>2.1438746488635009E-2</v>
      </c>
      <c r="H52" s="42">
        <f>SUM(crises_vs_mcap!P8*$E$2+crises_vs_mcap!Q8*$E$3+crises_vs_mcap!R8*$E$4+crises_vs_mcap!S8*$E$5+crises_vs_mcap!T8*$E$6+crises_vs_mcap!U8*$E$7)</f>
        <v>-9.9264925166498916E-3</v>
      </c>
      <c r="I52" s="44">
        <f>SUM(crises_vs_mcap!AB8*$E$2+crises_vs_mcap!AC8*$E$3+crises_vs_mcap!AD8*$E$4+crises_vs_mcap!AE8*$E$5+crises_vs_mcap!AF8*$E$6+crises_vs_mcap!AG8*$E$7)</f>
        <v>-7.2790568248055935E-3</v>
      </c>
      <c r="J52" s="45">
        <f>(N(crises_vs_mcap!AH8)*$E$2+N(crises_vs_mcap!AI8)*$E$3+N(crises_vs_mcap!AJ8)*$E$4+N(crises_vs_mcap!AK8)*$E$5+N(crises_vs_mcap!AL8)*$E$6+N(crises_vs_mcap!AM8)*$E$7)/(ISNUMBER(crises_vs_mcap!AH8)*$E$2+ISNUMBER(crises_vs_mcap!AI8)*$E$3+ISNUMBER(crises_vs_mcap!AJ8)*$E$4+ISNUMBER(crises_vs_mcap!AK8)*$E$5+ISNUMBER(crises_vs_mcap!AL8)*$E$6+ISNUMBER(crises_vs_mcap!AM8)*$E$7)</f>
        <v>46.241895845523707</v>
      </c>
      <c r="K52" s="42">
        <f>SUM(crises_vs_mcap!AZ8*$E$2+crises_vs_mcap!BA8*$E$3+crises_vs_mcap!BB8*$E$4+crises_vs_mcap!BC8*$E$5+crises_vs_mcap!BD8*$E$6+crises_vs_mcap!BE8*$E$7)</f>
        <v>-7.4861515269144495E-3</v>
      </c>
      <c r="L52" s="42">
        <f>SUM(crises_vs_mcap!BL8*$E$2+crises_vs_mcap!BM8*$E$3+crises_vs_mcap!BN8*$E$4+crises_vs_mcap!BO8*$E$5+crises_vs_mcap!BP8*$E$6+crises_vs_mcap!BQ8*$E$7)</f>
        <v>-2.4202927624006991E-2</v>
      </c>
      <c r="M52" s="42">
        <f>SUM(crises_vs_mcap!BR8*$E$2+crises_vs_mcap!BS8*$E$3+crises_vs_mcap!BT8*$E$4+crises_vs_mcap!BU8*$E$5+crises_vs_mcap!BV8*$E$6+crises_vs_mcap!BW8*$E$7)</f>
        <v>-1.1447174099067321E-2</v>
      </c>
      <c r="N52" s="46">
        <f>SUM(crises_vs_mcap!BX8*$E$2+crises_vs_mcap!BY8*$E$3+crises_vs_mcap!BZ8*$E$4+crises_vs_mcap!CA8*$E$5+crises_vs_mcap!CB8*$E$6+crises_vs_mcap!CC8*$E$7)</f>
        <v>1.3346999999999998</v>
      </c>
      <c r="O52" s="42">
        <f>SUM(crises_vs_mcap!CD8*$E$2+crises_vs_mcap!CE8*$E$3+crises_vs_mcap!CF8*$E$4+crises_vs_mcap!CG8*$E$5+crises_vs_mcap!CH8*$E$6+crises_vs_mcap!CI8*$E$7)</f>
        <v>4.7718361654931055E-2</v>
      </c>
      <c r="P52" s="42">
        <f>SUM(crises_vs_mcap!CJ8*$E$2+crises_vs_mcap!CK8*$E$3+crises_vs_mcap!CL8*$E$4+crises_vs_mcap!CM8*$E$5+crises_vs_mcap!CN8*$E$6+crises_vs_mcap!CO8*$E$7)</f>
        <v>-2.1411575455456962E-2</v>
      </c>
      <c r="Q52" s="47">
        <f>(N(crises_vs_mcap!CP8)*$E$2+N(crises_vs_mcap!CQ8)*$E$3+N(crises_vs_mcap!CR8)*$E$4+N(crises_vs_mcap!CS8)*$E$5+N(crises_vs_mcap!CT8)*$E$6+N(crises_vs_mcap!CU8)*$E$7)/(ISNUMBER(crises_vs_mcap!CP8)*$E$2+ISNUMBER(crises_vs_mcap!CQ8)*$E$3+ISNUMBER(crises_vs_mcap!CR8)*$E$4+ISNUMBER(crises_vs_mcap!CS8)*$E$5+ISNUMBER(crises_vs_mcap!CT8)*$E$6+ISNUMBER(crises_vs_mcap!CU8)*$E$7)</f>
        <v>54.045055588063207</v>
      </c>
      <c r="R52" s="42">
        <f>SUM(crises_vs_mcap!CV8*$E$2+crises_vs_mcap!CW8*$E$3+crises_vs_mcap!CX8*$E$4+crises_vs_mcap!CY8*$E$5+crises_vs_mcap!CZ8*$E$6+crises_vs_mcap!DA8*$E$7)</f>
        <v>7.2524094888102159E-2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5E2D-FD66-45E1-B60D-FE9A8E216659}">
  <dimension ref="A1:DA8"/>
  <sheetViews>
    <sheetView topLeftCell="CV1" workbookViewId="0">
      <selection activeCell="CV2" sqref="CV2"/>
    </sheetView>
  </sheetViews>
  <sheetFormatPr defaultRowHeight="14.4" x14ac:dyDescent="0.3"/>
  <cols>
    <col min="1" max="1" width="12.88671875" bestFit="1" customWidth="1"/>
    <col min="2" max="2" width="22.21875" bestFit="1" customWidth="1"/>
    <col min="3" max="3" width="14.109375" bestFit="1" customWidth="1"/>
    <col min="4" max="4" width="10.5546875" bestFit="1" customWidth="1"/>
    <col min="5" max="5" width="12.77734375" bestFit="1" customWidth="1"/>
    <col min="6" max="6" width="10.5546875" bestFit="1" customWidth="1"/>
    <col min="7" max="7" width="15.77734375" bestFit="1" customWidth="1"/>
    <col min="8" max="8" width="22.21875" bestFit="1" customWidth="1"/>
    <col min="9" max="9" width="16" bestFit="1" customWidth="1"/>
    <col min="10" max="15" width="18.21875" bestFit="1" customWidth="1"/>
    <col min="16" max="21" width="17.88671875" bestFit="1" customWidth="1"/>
    <col min="22" max="27" width="18.33203125" bestFit="1" customWidth="1"/>
    <col min="28" max="33" width="19" bestFit="1" customWidth="1"/>
    <col min="34" max="39" width="20.6640625" bestFit="1" customWidth="1"/>
    <col min="40" max="45" width="20.88671875" bestFit="1" customWidth="1"/>
    <col min="46" max="51" width="19.44140625" bestFit="1" customWidth="1"/>
    <col min="52" max="57" width="17.21875" bestFit="1" customWidth="1"/>
    <col min="58" max="63" width="17.33203125" bestFit="1" customWidth="1"/>
    <col min="64" max="69" width="17.77734375" bestFit="1" customWidth="1"/>
    <col min="70" max="75" width="17.44140625" bestFit="1" customWidth="1"/>
    <col min="76" max="81" width="20.21875" bestFit="1" customWidth="1"/>
    <col min="82" max="87" width="17.77734375" bestFit="1" customWidth="1"/>
    <col min="88" max="93" width="17.44140625" bestFit="1" customWidth="1"/>
    <col min="94" max="99" width="20.21875" bestFit="1" customWidth="1"/>
    <col min="100" max="105" width="27.21875" bestFit="1" customWidth="1"/>
  </cols>
  <sheetData>
    <row r="1" spans="1:105" x14ac:dyDescent="0.3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5" t="s">
        <v>50</v>
      </c>
      <c r="K1" s="15" t="s">
        <v>51</v>
      </c>
      <c r="L1" s="15" t="s">
        <v>52</v>
      </c>
      <c r="M1" s="15" t="s">
        <v>53</v>
      </c>
      <c r="N1" s="15" t="s">
        <v>54</v>
      </c>
      <c r="O1" s="15" t="s">
        <v>55</v>
      </c>
      <c r="P1" s="15" t="s">
        <v>56</v>
      </c>
      <c r="Q1" s="15" t="s">
        <v>57</v>
      </c>
      <c r="R1" s="15" t="s">
        <v>58</v>
      </c>
      <c r="S1" s="15" t="s">
        <v>59</v>
      </c>
      <c r="T1" s="15" t="s">
        <v>60</v>
      </c>
      <c r="U1" s="15" t="s">
        <v>61</v>
      </c>
      <c r="V1" s="15" t="s">
        <v>62</v>
      </c>
      <c r="W1" s="15" t="s">
        <v>63</v>
      </c>
      <c r="X1" s="15" t="s">
        <v>64</v>
      </c>
      <c r="Y1" s="15" t="s">
        <v>65</v>
      </c>
      <c r="Z1" s="15" t="s">
        <v>66</v>
      </c>
      <c r="AA1" s="15" t="s">
        <v>67</v>
      </c>
      <c r="AB1" s="16" t="s">
        <v>68</v>
      </c>
      <c r="AC1" s="16" t="s">
        <v>69</v>
      </c>
      <c r="AD1" s="16" t="s">
        <v>70</v>
      </c>
      <c r="AE1" s="16" t="s">
        <v>71</v>
      </c>
      <c r="AF1" s="16" t="s">
        <v>72</v>
      </c>
      <c r="AG1" s="16" t="s">
        <v>73</v>
      </c>
      <c r="AH1" s="16" t="s">
        <v>74</v>
      </c>
      <c r="AI1" s="16" t="s">
        <v>75</v>
      </c>
      <c r="AJ1" s="16" t="s">
        <v>76</v>
      </c>
      <c r="AK1" s="16" t="s">
        <v>77</v>
      </c>
      <c r="AL1" s="16" t="s">
        <v>78</v>
      </c>
      <c r="AM1" s="16" t="s">
        <v>79</v>
      </c>
      <c r="AN1" s="16" t="s">
        <v>140</v>
      </c>
      <c r="AO1" s="16" t="s">
        <v>141</v>
      </c>
      <c r="AP1" s="16" t="s">
        <v>142</v>
      </c>
      <c r="AQ1" s="16" t="s">
        <v>143</v>
      </c>
      <c r="AR1" s="16" t="s">
        <v>144</v>
      </c>
      <c r="AS1" s="16" t="s">
        <v>145</v>
      </c>
      <c r="AT1" s="16" t="s">
        <v>80</v>
      </c>
      <c r="AU1" s="16" t="s">
        <v>81</v>
      </c>
      <c r="AV1" s="16" t="s">
        <v>82</v>
      </c>
      <c r="AW1" s="16" t="s">
        <v>83</v>
      </c>
      <c r="AX1" s="16" t="s">
        <v>84</v>
      </c>
      <c r="AY1" s="16" t="s">
        <v>85</v>
      </c>
      <c r="AZ1" s="16" t="s">
        <v>86</v>
      </c>
      <c r="BA1" s="16" t="s">
        <v>87</v>
      </c>
      <c r="BB1" s="16" t="s">
        <v>88</v>
      </c>
      <c r="BC1" s="16" t="s">
        <v>89</v>
      </c>
      <c r="BD1" s="16" t="s">
        <v>90</v>
      </c>
      <c r="BE1" s="16" t="s">
        <v>91</v>
      </c>
      <c r="BF1" s="16" t="s">
        <v>92</v>
      </c>
      <c r="BG1" s="16" t="s">
        <v>93</v>
      </c>
      <c r="BH1" s="16" t="s">
        <v>94</v>
      </c>
      <c r="BI1" s="16" t="s">
        <v>95</v>
      </c>
      <c r="BJ1" s="16" t="s">
        <v>96</v>
      </c>
      <c r="BK1" s="16" t="s">
        <v>97</v>
      </c>
      <c r="BL1" s="29" t="s">
        <v>98</v>
      </c>
      <c r="BM1" s="29" t="s">
        <v>99</v>
      </c>
      <c r="BN1" s="29" t="s">
        <v>100</v>
      </c>
      <c r="BO1" s="29" t="s">
        <v>101</v>
      </c>
      <c r="BP1" s="29" t="s">
        <v>102</v>
      </c>
      <c r="BQ1" s="29" t="s">
        <v>103</v>
      </c>
      <c r="BR1" s="29" t="s">
        <v>104</v>
      </c>
      <c r="BS1" s="29" t="s">
        <v>105</v>
      </c>
      <c r="BT1" s="29" t="s">
        <v>106</v>
      </c>
      <c r="BU1" s="29" t="s">
        <v>107</v>
      </c>
      <c r="BV1" s="29" t="s">
        <v>108</v>
      </c>
      <c r="BW1" s="29" t="s">
        <v>109</v>
      </c>
      <c r="BX1" s="29" t="s">
        <v>110</v>
      </c>
      <c r="BY1" s="29" t="s">
        <v>111</v>
      </c>
      <c r="BZ1" s="29" t="s">
        <v>112</v>
      </c>
      <c r="CA1" s="29" t="s">
        <v>113</v>
      </c>
      <c r="CB1" s="29" t="s">
        <v>114</v>
      </c>
      <c r="CC1" s="29" t="s">
        <v>115</v>
      </c>
      <c r="CD1" s="30" t="s">
        <v>116</v>
      </c>
      <c r="CE1" s="30" t="s">
        <v>117</v>
      </c>
      <c r="CF1" s="30" t="s">
        <v>118</v>
      </c>
      <c r="CG1" s="30" t="s">
        <v>119</v>
      </c>
      <c r="CH1" s="30" t="s">
        <v>120</v>
      </c>
      <c r="CI1" s="30" t="s">
        <v>121</v>
      </c>
      <c r="CJ1" s="30" t="s">
        <v>122</v>
      </c>
      <c r="CK1" s="30" t="s">
        <v>123</v>
      </c>
      <c r="CL1" s="30" t="s">
        <v>124</v>
      </c>
      <c r="CM1" s="30" t="s">
        <v>125</v>
      </c>
      <c r="CN1" s="30" t="s">
        <v>126</v>
      </c>
      <c r="CO1" s="30" t="s">
        <v>127</v>
      </c>
      <c r="CP1" s="30" t="s">
        <v>128</v>
      </c>
      <c r="CQ1" s="30" t="s">
        <v>129</v>
      </c>
      <c r="CR1" s="30" t="s">
        <v>130</v>
      </c>
      <c r="CS1" s="30" t="s">
        <v>131</v>
      </c>
      <c r="CT1" s="30" t="s">
        <v>132</v>
      </c>
      <c r="CU1" s="30" t="s">
        <v>133</v>
      </c>
      <c r="CV1" s="30" t="s">
        <v>134</v>
      </c>
      <c r="CW1" s="30" t="s">
        <v>135</v>
      </c>
      <c r="CX1" s="30" t="s">
        <v>136</v>
      </c>
      <c r="CY1" s="30" t="s">
        <v>137</v>
      </c>
      <c r="CZ1" s="30" t="s">
        <v>138</v>
      </c>
      <c r="DA1" s="30" t="s">
        <v>139</v>
      </c>
    </row>
    <row r="2" spans="1:105" x14ac:dyDescent="0.3">
      <c r="A2" t="s">
        <v>8</v>
      </c>
      <c r="B2" t="s">
        <v>9</v>
      </c>
      <c r="C2" t="s">
        <v>2</v>
      </c>
      <c r="D2" t="s">
        <v>10</v>
      </c>
      <c r="E2" t="s">
        <v>4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7" t="b">
        <v>0</v>
      </c>
      <c r="W2" s="17" t="b">
        <v>1</v>
      </c>
      <c r="X2" s="17" t="b">
        <v>1</v>
      </c>
      <c r="Y2" s="17" t="b">
        <v>1</v>
      </c>
      <c r="Z2" s="17" t="b">
        <v>1</v>
      </c>
      <c r="AA2" s="17" t="b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/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5" t="b">
        <v>1</v>
      </c>
      <c r="AO2" s="5" t="b">
        <v>0</v>
      </c>
      <c r="AP2" s="5" t="b">
        <v>0</v>
      </c>
      <c r="AQ2" s="5" t="b">
        <v>0</v>
      </c>
      <c r="AR2" s="5" t="b">
        <v>0</v>
      </c>
      <c r="AS2" s="5" t="b">
        <v>0</v>
      </c>
      <c r="AT2" s="5" t="b">
        <v>0</v>
      </c>
      <c r="AU2" s="5" t="b">
        <v>1</v>
      </c>
      <c r="AV2" s="5" t="b">
        <v>1</v>
      </c>
      <c r="AW2" s="5" t="b">
        <v>1</v>
      </c>
      <c r="AX2" s="5" t="b">
        <v>1</v>
      </c>
      <c r="AY2" s="5" t="b">
        <v>1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5" t="b">
        <v>0</v>
      </c>
      <c r="BG2" s="5" t="b">
        <v>0</v>
      </c>
      <c r="BH2" s="5" t="b">
        <v>0</v>
      </c>
      <c r="BI2" s="5" t="b">
        <v>0</v>
      </c>
      <c r="BJ2" s="5" t="b">
        <v>0</v>
      </c>
      <c r="BK2" s="5" t="b">
        <v>0</v>
      </c>
      <c r="BL2" s="19">
        <v>0</v>
      </c>
      <c r="BM2" s="19">
        <v>0</v>
      </c>
      <c r="BN2" s="19">
        <v>0</v>
      </c>
      <c r="BO2" s="19">
        <v>0</v>
      </c>
      <c r="BP2" s="19">
        <v>0</v>
      </c>
      <c r="BQ2" s="19">
        <v>0</v>
      </c>
      <c r="BR2" s="19">
        <v>0</v>
      </c>
      <c r="BS2" s="19">
        <v>0</v>
      </c>
      <c r="BT2" s="19">
        <v>0</v>
      </c>
      <c r="BU2" s="19">
        <v>0</v>
      </c>
      <c r="BV2" s="19">
        <v>0</v>
      </c>
      <c r="BW2" s="19">
        <v>0</v>
      </c>
      <c r="BX2" s="20">
        <v>0</v>
      </c>
      <c r="BY2" s="20">
        <v>0</v>
      </c>
      <c r="BZ2" s="20">
        <v>0</v>
      </c>
      <c r="CA2" s="20">
        <v>0</v>
      </c>
      <c r="CB2" s="20">
        <v>0</v>
      </c>
      <c r="CC2" s="20">
        <v>0</v>
      </c>
      <c r="CD2" s="21">
        <v>0</v>
      </c>
      <c r="CE2" s="21">
        <v>0</v>
      </c>
      <c r="CF2" s="21">
        <v>0</v>
      </c>
      <c r="CG2" s="21">
        <v>0</v>
      </c>
      <c r="CH2" s="21">
        <v>0</v>
      </c>
      <c r="CI2" s="21">
        <v>0</v>
      </c>
      <c r="CJ2" s="21">
        <v>0</v>
      </c>
      <c r="CK2" s="21">
        <v>0</v>
      </c>
      <c r="CL2" s="21">
        <v>0</v>
      </c>
      <c r="CM2" s="21">
        <v>0</v>
      </c>
      <c r="CN2" s="21">
        <v>0</v>
      </c>
      <c r="CO2" s="21">
        <v>0</v>
      </c>
      <c r="CP2" s="22"/>
      <c r="CQ2" s="22">
        <v>0</v>
      </c>
      <c r="CR2" s="22">
        <v>0</v>
      </c>
      <c r="CS2" s="22">
        <v>0</v>
      </c>
      <c r="CT2" s="22">
        <v>0</v>
      </c>
      <c r="CU2" s="22">
        <v>0</v>
      </c>
      <c r="CV2" s="21">
        <v>0</v>
      </c>
      <c r="CW2" s="21">
        <v>0</v>
      </c>
      <c r="CX2" s="21">
        <v>0</v>
      </c>
      <c r="CY2" s="21">
        <v>0</v>
      </c>
      <c r="CZ2" s="21">
        <v>0</v>
      </c>
      <c r="DA2" s="21">
        <v>0</v>
      </c>
    </row>
    <row r="3" spans="1:105" x14ac:dyDescent="0.3">
      <c r="A3" s="7" t="s">
        <v>11</v>
      </c>
      <c r="B3" s="7" t="s">
        <v>12</v>
      </c>
      <c r="C3" s="7" t="s">
        <v>2</v>
      </c>
      <c r="D3" s="7" t="s">
        <v>3</v>
      </c>
      <c r="E3" s="7" t="s">
        <v>4</v>
      </c>
      <c r="F3" s="7"/>
      <c r="G3" s="7"/>
      <c r="H3" s="7" t="s">
        <v>12</v>
      </c>
      <c r="I3" s="7"/>
      <c r="J3" s="8">
        <v>0.2552201670677432</v>
      </c>
      <c r="K3" s="8">
        <v>-2.9565924233579621E-2</v>
      </c>
      <c r="L3" s="8">
        <v>3.8969938800328401E-3</v>
      </c>
      <c r="M3" s="8">
        <v>-8.0299720895862237E-2</v>
      </c>
      <c r="N3" s="8">
        <v>2.7123180064664961E-2</v>
      </c>
      <c r="O3" s="8">
        <v>-1.0684438307277611E-2</v>
      </c>
      <c r="P3" s="8">
        <v>9.3436304541037796E-2</v>
      </c>
      <c r="Q3" s="8">
        <v>-5.2243643895481202E-2</v>
      </c>
      <c r="R3" s="8">
        <v>3.6103776165395202E-2</v>
      </c>
      <c r="S3" s="8">
        <v>-1.79317754545309E-2</v>
      </c>
      <c r="T3" s="8">
        <v>3.269915882236113E-2</v>
      </c>
      <c r="U3" s="8">
        <v>3.6952511546449907E-2</v>
      </c>
      <c r="V3" s="23" t="b">
        <v>1</v>
      </c>
      <c r="W3" s="23" t="b">
        <v>1</v>
      </c>
      <c r="X3" s="23" t="b">
        <v>1</v>
      </c>
      <c r="Y3" s="23" t="b">
        <v>1</v>
      </c>
      <c r="Z3" s="23" t="b">
        <v>1</v>
      </c>
      <c r="AA3" s="23" t="b">
        <v>0</v>
      </c>
      <c r="AB3" s="10">
        <v>0.1137048910154083</v>
      </c>
      <c r="AC3" s="10">
        <v>-5.2736793366845003E-2</v>
      </c>
      <c r="AD3" s="10">
        <v>2.9242654045956579E-2</v>
      </c>
      <c r="AE3" s="10">
        <v>-1.79317754545309E-2</v>
      </c>
      <c r="AF3" s="10">
        <v>3.269915882236113E-2</v>
      </c>
      <c r="AG3" s="10">
        <v>3.6952511546449907E-2</v>
      </c>
      <c r="AH3" s="11"/>
      <c r="AI3" s="11">
        <v>134</v>
      </c>
      <c r="AJ3" s="11">
        <v>-17</v>
      </c>
      <c r="AK3" s="11">
        <v>42</v>
      </c>
      <c r="AL3" s="11">
        <v>-88</v>
      </c>
      <c r="AM3" s="11">
        <v>4</v>
      </c>
      <c r="AN3" s="12" t="b">
        <v>1</v>
      </c>
      <c r="AO3" s="12" t="b">
        <v>0</v>
      </c>
      <c r="AP3" s="12" t="b">
        <v>0</v>
      </c>
      <c r="AQ3" s="12" t="b">
        <v>0</v>
      </c>
      <c r="AR3" s="12" t="b">
        <v>0</v>
      </c>
      <c r="AS3" s="12" t="b">
        <v>0</v>
      </c>
      <c r="AT3" s="12" t="b">
        <v>1</v>
      </c>
      <c r="AU3" s="12" t="b">
        <v>1</v>
      </c>
      <c r="AV3" s="12" t="b">
        <v>1</v>
      </c>
      <c r="AW3" s="12" t="b">
        <v>1</v>
      </c>
      <c r="AX3" s="12" t="b">
        <v>1</v>
      </c>
      <c r="AY3" s="12" t="b">
        <v>1</v>
      </c>
      <c r="AZ3" s="10">
        <v>-0.1125669312763614</v>
      </c>
      <c r="BA3" s="10">
        <v>1.8630331613313091E-2</v>
      </c>
      <c r="BB3" s="10">
        <v>-1.7132250445744499E-2</v>
      </c>
      <c r="BC3" s="10">
        <v>7.6420699354964108E-3</v>
      </c>
      <c r="BD3" s="10">
        <v>-2.6207063766622091E-2</v>
      </c>
      <c r="BE3" s="10">
        <v>-1.089885050708112E-2</v>
      </c>
      <c r="BF3" s="12" t="b">
        <v>0</v>
      </c>
      <c r="BG3" s="12" t="b">
        <v>0</v>
      </c>
      <c r="BH3" s="12" t="b">
        <v>0</v>
      </c>
      <c r="BI3" s="12" t="b">
        <v>0</v>
      </c>
      <c r="BJ3" s="12" t="b">
        <v>0</v>
      </c>
      <c r="BK3" s="12" t="b">
        <v>0</v>
      </c>
      <c r="BL3" s="24">
        <v>0.1984196959566025</v>
      </c>
      <c r="BM3" s="24">
        <v>-0.1062190859957536</v>
      </c>
      <c r="BN3" s="24">
        <v>3.6346003107219138E-2</v>
      </c>
      <c r="BO3" s="24">
        <v>-2.5263836303307089E-2</v>
      </c>
      <c r="BP3" s="24">
        <v>2.690592130423819E-2</v>
      </c>
      <c r="BQ3" s="24">
        <v>4.7631567402733672E-2</v>
      </c>
      <c r="BR3" s="24">
        <v>9.3436304541037796E-2</v>
      </c>
      <c r="BS3" s="24">
        <v>-5.2243643895481202E-2</v>
      </c>
      <c r="BT3" s="24">
        <v>3.6103776165395202E-2</v>
      </c>
      <c r="BU3" s="24">
        <v>-1.79317754545309E-2</v>
      </c>
      <c r="BV3" s="24">
        <v>1.856962422449682E-2</v>
      </c>
      <c r="BW3" s="24">
        <v>3.6952511546449907E-2</v>
      </c>
      <c r="BX3" s="25">
        <v>0</v>
      </c>
      <c r="BY3" s="25">
        <v>0</v>
      </c>
      <c r="BZ3" s="25">
        <v>0</v>
      </c>
      <c r="CA3" s="25">
        <v>0</v>
      </c>
      <c r="CB3" s="25">
        <v>-58</v>
      </c>
      <c r="CC3" s="25">
        <v>0</v>
      </c>
      <c r="CD3" s="26">
        <v>4.7396142856114931E-2</v>
      </c>
      <c r="CE3" s="26">
        <v>8.5762808940234248E-2</v>
      </c>
      <c r="CF3" s="26">
        <v>-3.1310980242019837E-2</v>
      </c>
      <c r="CG3" s="26">
        <v>-5.6462339905222092E-2</v>
      </c>
      <c r="CH3" s="26">
        <v>2.1156637226393829E-4</v>
      </c>
      <c r="CI3" s="26">
        <v>-5.5664612946502712E-2</v>
      </c>
      <c r="CJ3" s="26">
        <v>-2.2602950711131389E-4</v>
      </c>
      <c r="CK3" s="26">
        <v>-1.0941457284836481E-2</v>
      </c>
      <c r="CL3" s="26">
        <v>6.7167406665039576E-3</v>
      </c>
      <c r="CM3" s="26">
        <v>-2.4644124052836999E-2</v>
      </c>
      <c r="CN3" s="26">
        <v>1.8021947797326729E-2</v>
      </c>
      <c r="CO3" s="26">
        <v>1.260162146638133E-2</v>
      </c>
      <c r="CP3" s="27"/>
      <c r="CQ3" s="27">
        <v>134</v>
      </c>
      <c r="CR3" s="27">
        <v>-17</v>
      </c>
      <c r="CS3" s="27">
        <v>42</v>
      </c>
      <c r="CT3" s="27">
        <v>-30</v>
      </c>
      <c r="CU3" s="27">
        <v>4</v>
      </c>
      <c r="CV3" s="26">
        <v>-0.35234540732155678</v>
      </c>
      <c r="CW3" s="26">
        <v>0.23936482163584191</v>
      </c>
      <c r="CX3" s="26">
        <v>-4.3590490465588189E-2</v>
      </c>
      <c r="CY3" s="26">
        <v>3.6516422754438387E-2</v>
      </c>
      <c r="CZ3" s="26">
        <v>-6.8246255843673387E-2</v>
      </c>
      <c r="DA3" s="26">
        <v>-5.8605342506623498E-2</v>
      </c>
    </row>
    <row r="4" spans="1:105" x14ac:dyDescent="0.3">
      <c r="A4" s="7" t="s">
        <v>14</v>
      </c>
      <c r="B4" s="7" t="s">
        <v>15</v>
      </c>
      <c r="C4" s="7" t="s">
        <v>2</v>
      </c>
      <c r="D4" s="7" t="s">
        <v>3</v>
      </c>
      <c r="E4" s="7" t="s">
        <v>4</v>
      </c>
      <c r="F4" s="7"/>
      <c r="G4" s="7"/>
      <c r="H4" s="7" t="s">
        <v>15</v>
      </c>
      <c r="I4" s="7"/>
      <c r="J4" s="8">
        <v>-5.6925924118390259E-2</v>
      </c>
      <c r="K4" s="8">
        <v>0.19195338324638619</v>
      </c>
      <c r="L4" s="8">
        <v>-2.7589383280594459E-2</v>
      </c>
      <c r="M4" s="8">
        <v>-5.581532776669107E-2</v>
      </c>
      <c r="N4" s="8">
        <v>2.7344359634700059E-2</v>
      </c>
      <c r="O4" s="8">
        <v>-2.0979609888259639E-2</v>
      </c>
      <c r="P4" s="8">
        <v>-5.4356809903899177E-2</v>
      </c>
      <c r="Q4" s="8">
        <v>5.8391069690232937E-2</v>
      </c>
      <c r="R4" s="8">
        <v>3.3783359067187102E-3</v>
      </c>
      <c r="S4" s="8">
        <v>-2.5594628052616308E-2</v>
      </c>
      <c r="T4" s="8">
        <v>3.7164144715350289E-2</v>
      </c>
      <c r="U4" s="8">
        <v>3.2233874250456478E-2</v>
      </c>
      <c r="V4" s="23" t="b">
        <v>0</v>
      </c>
      <c r="W4" s="23" t="b">
        <v>1</v>
      </c>
      <c r="X4" s="23" t="b">
        <v>0</v>
      </c>
      <c r="Y4" s="23" t="b">
        <v>1</v>
      </c>
      <c r="Z4" s="23" t="b">
        <v>1</v>
      </c>
      <c r="AA4" s="23" t="b">
        <v>0</v>
      </c>
      <c r="AB4" s="10">
        <v>-4.9255177877111263E-2</v>
      </c>
      <c r="AC4" s="10">
        <v>6.6003483904480076E-2</v>
      </c>
      <c r="AD4" s="10">
        <v>-1.8035346235536209E-3</v>
      </c>
      <c r="AE4" s="10">
        <v>-2.5594628052616308E-2</v>
      </c>
      <c r="AF4" s="10">
        <v>3.7164144715350289E-2</v>
      </c>
      <c r="AG4" s="10">
        <v>3.2233874250456478E-2</v>
      </c>
      <c r="AH4" s="11"/>
      <c r="AI4" s="11">
        <v>-385</v>
      </c>
      <c r="AJ4" s="11">
        <v>13</v>
      </c>
      <c r="AK4" s="11">
        <v>37</v>
      </c>
      <c r="AL4" s="11">
        <v>-88</v>
      </c>
      <c r="AM4" s="11">
        <v>13</v>
      </c>
      <c r="AN4" s="12" t="b">
        <v>1</v>
      </c>
      <c r="AO4" s="12" t="b">
        <v>0</v>
      </c>
      <c r="AP4" s="12" t="b">
        <v>0</v>
      </c>
      <c r="AQ4" s="12" t="b">
        <v>0</v>
      </c>
      <c r="AR4" s="12" t="b">
        <v>0</v>
      </c>
      <c r="AS4" s="12" t="b">
        <v>0</v>
      </c>
      <c r="AT4" s="12" t="b">
        <v>0</v>
      </c>
      <c r="AU4" s="12" t="b">
        <v>1</v>
      </c>
      <c r="AV4" s="12" t="b">
        <v>1</v>
      </c>
      <c r="AW4" s="12" t="b">
        <v>1</v>
      </c>
      <c r="AX4" s="12" t="b">
        <v>1</v>
      </c>
      <c r="AY4" s="12" t="b">
        <v>1</v>
      </c>
      <c r="AZ4" s="10">
        <v>6.6121094806897818E-2</v>
      </c>
      <c r="BA4" s="10">
        <v>-4.12950012027751E-2</v>
      </c>
      <c r="BB4" s="10">
        <v>1.158991491599301E-4</v>
      </c>
      <c r="BC4" s="10">
        <v>6.6096228397032539E-3</v>
      </c>
      <c r="BD4" s="10">
        <v>-1.6225283999397679E-2</v>
      </c>
      <c r="BE4" s="10">
        <v>-5.2838652137224759E-3</v>
      </c>
      <c r="BF4" s="12" t="b">
        <v>0</v>
      </c>
      <c r="BG4" s="12" t="b">
        <v>0</v>
      </c>
      <c r="BH4" s="12" t="b">
        <v>0</v>
      </c>
      <c r="BI4" s="12" t="b">
        <v>0</v>
      </c>
      <c r="BJ4" s="12" t="b">
        <v>0</v>
      </c>
      <c r="BK4" s="12" t="b">
        <v>0</v>
      </c>
      <c r="BL4" s="24">
        <v>-9.4743145277374596E-2</v>
      </c>
      <c r="BM4" s="24">
        <v>0.13294000801491571</v>
      </c>
      <c r="BN4" s="24">
        <v>-2.2416322037199792E-3</v>
      </c>
      <c r="BO4" s="24">
        <v>-3.6059925856474877E-2</v>
      </c>
      <c r="BP4" s="24">
        <v>3.8896243612570158E-2</v>
      </c>
      <c r="BQ4" s="24">
        <v>4.1653662834659773E-2</v>
      </c>
      <c r="BR4" s="24">
        <v>-5.4356809903899177E-2</v>
      </c>
      <c r="BS4" s="24">
        <v>5.8391069690232937E-2</v>
      </c>
      <c r="BT4" s="24">
        <v>3.3783359067187102E-3</v>
      </c>
      <c r="BU4" s="24">
        <v>-2.5594628052616308E-2</v>
      </c>
      <c r="BV4" s="24">
        <v>2.6844969159860621E-2</v>
      </c>
      <c r="BW4" s="24">
        <v>3.2233874250456478E-2</v>
      </c>
      <c r="BX4" s="25">
        <v>0</v>
      </c>
      <c r="BY4" s="25">
        <v>0</v>
      </c>
      <c r="BZ4" s="25">
        <v>0</v>
      </c>
      <c r="CA4" s="25">
        <v>0</v>
      </c>
      <c r="CB4" s="25">
        <v>0</v>
      </c>
      <c r="CC4" s="25">
        <v>-2</v>
      </c>
      <c r="CD4" s="26">
        <v>4.1775128198915379E-2</v>
      </c>
      <c r="CE4" s="26">
        <v>5.208870267973964E-2</v>
      </c>
      <c r="CF4" s="26">
        <v>-2.540469906843212E-2</v>
      </c>
      <c r="CG4" s="26">
        <v>-2.0494429519147591E-2</v>
      </c>
      <c r="CH4" s="26">
        <v>-1.1119381794760019E-2</v>
      </c>
      <c r="CI4" s="26">
        <v>-6.0128692441281377E-2</v>
      </c>
      <c r="CJ4" s="26">
        <v>-2.5565180737434079E-3</v>
      </c>
      <c r="CK4" s="26">
        <v>3.0292436744340411E-2</v>
      </c>
      <c r="CL4" s="26">
        <v>2.2450681909980119E-5</v>
      </c>
      <c r="CM4" s="26">
        <v>-1.1354960415274279E-2</v>
      </c>
      <c r="CN4" s="26">
        <v>3.308471385424699E-3</v>
      </c>
      <c r="CO4" s="26">
        <v>3.5076846407799497E-2</v>
      </c>
      <c r="CP4" s="27"/>
      <c r="CQ4" s="27">
        <v>-385</v>
      </c>
      <c r="CR4" s="27">
        <v>13</v>
      </c>
      <c r="CS4" s="27">
        <v>37</v>
      </c>
      <c r="CT4" s="27">
        <v>-88</v>
      </c>
      <c r="CU4" s="27">
        <v>15</v>
      </c>
      <c r="CV4" s="26">
        <v>0.20614262726996671</v>
      </c>
      <c r="CW4" s="26">
        <v>-0.2363402159119532</v>
      </c>
      <c r="CX4" s="26">
        <v>2.7924078576725959E-3</v>
      </c>
      <c r="CY4" s="26">
        <v>5.2704876559359022E-2</v>
      </c>
      <c r="CZ4" s="26">
        <v>-7.7079512441146303E-2</v>
      </c>
      <c r="DA4" s="26">
        <v>-5.1420288723032392E-2</v>
      </c>
    </row>
    <row r="5" spans="1:105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/>
      <c r="G5" s="7"/>
      <c r="H5" s="7" t="s">
        <v>1</v>
      </c>
      <c r="I5" s="7"/>
      <c r="J5" s="8">
        <v>0.43959481264891931</v>
      </c>
      <c r="K5" s="8">
        <v>0.1911821718000761</v>
      </c>
      <c r="L5" s="8">
        <v>-4.3443978656020343E-3</v>
      </c>
      <c r="M5" s="8">
        <v>-8.9978593847084953E-2</v>
      </c>
      <c r="N5" s="8">
        <v>-5.1907141092564224E-3</v>
      </c>
      <c r="O5" s="8">
        <v>-4.7128102198655819E-2</v>
      </c>
      <c r="P5" s="8">
        <v>0.14298483367083389</v>
      </c>
      <c r="Q5" s="8">
        <v>4.8204921403832091E-2</v>
      </c>
      <c r="R5" s="8">
        <v>5.7018102523321901E-2</v>
      </c>
      <c r="S5" s="8">
        <v>-5.731005503735509E-3</v>
      </c>
      <c r="T5" s="8">
        <v>8.6200976661949619E-2</v>
      </c>
      <c r="U5" s="8">
        <v>7.2837999107270485E-2</v>
      </c>
      <c r="V5" s="23" t="b">
        <v>1</v>
      </c>
      <c r="W5" s="23" t="b">
        <v>1</v>
      </c>
      <c r="X5" s="23" t="b">
        <v>1</v>
      </c>
      <c r="Y5" s="23" t="b">
        <v>0</v>
      </c>
      <c r="Z5" s="23" t="b">
        <v>1</v>
      </c>
      <c r="AA5" s="23" t="b">
        <v>0</v>
      </c>
      <c r="AB5" s="10">
        <v>0.1829185586249075</v>
      </c>
      <c r="AC5" s="10">
        <v>4.7711771932468283E-2</v>
      </c>
      <c r="AD5" s="10">
        <v>5.2860079279796579E-2</v>
      </c>
      <c r="AE5" s="10">
        <v>-5.731005503735509E-3</v>
      </c>
      <c r="AF5" s="10">
        <v>8.6200976661949619E-2</v>
      </c>
      <c r="AG5" s="10">
        <v>7.2837999107270485E-2</v>
      </c>
      <c r="AH5" s="11"/>
      <c r="AI5" s="11">
        <v>-148</v>
      </c>
      <c r="AJ5" s="11">
        <v>-17</v>
      </c>
      <c r="AK5" s="11">
        <v>48</v>
      </c>
      <c r="AL5" s="11">
        <v>-80</v>
      </c>
      <c r="AM5" s="11">
        <v>47</v>
      </c>
      <c r="AN5" s="12" t="b">
        <v>1</v>
      </c>
      <c r="AO5" s="12" t="b">
        <v>0</v>
      </c>
      <c r="AP5" s="12" t="b">
        <v>0</v>
      </c>
      <c r="AQ5" s="12" t="b">
        <v>0</v>
      </c>
      <c r="AR5" s="12" t="b">
        <v>0</v>
      </c>
      <c r="AS5" s="12" t="b">
        <v>0</v>
      </c>
      <c r="AT5" s="12" t="b">
        <v>1</v>
      </c>
      <c r="AU5" s="12" t="b">
        <v>1</v>
      </c>
      <c r="AV5" s="12" t="b">
        <v>1</v>
      </c>
      <c r="AW5" s="12" t="b">
        <v>1</v>
      </c>
      <c r="AX5" s="12" t="b">
        <v>1</v>
      </c>
      <c r="AY5" s="12" t="b">
        <v>1</v>
      </c>
      <c r="AZ5" s="10">
        <v>-0.16016297466345639</v>
      </c>
      <c r="BA5" s="10">
        <v>-3.3356094704890898E-2</v>
      </c>
      <c r="BB5" s="10">
        <v>-2.3191679032031409E-2</v>
      </c>
      <c r="BC5" s="10">
        <v>3.9781817330175884E-3</v>
      </c>
      <c r="BD5" s="10">
        <v>-5.2231400304774897E-2</v>
      </c>
      <c r="BE5" s="10">
        <v>-1.7059558048422411E-2</v>
      </c>
      <c r="BF5" s="12" t="b">
        <v>0</v>
      </c>
      <c r="BG5" s="12" t="b">
        <v>0</v>
      </c>
      <c r="BH5" s="12" t="b">
        <v>0</v>
      </c>
      <c r="BI5" s="12" t="b">
        <v>0</v>
      </c>
      <c r="BJ5" s="12" t="b">
        <v>0</v>
      </c>
      <c r="BK5" s="12" t="b">
        <v>0</v>
      </c>
      <c r="BL5" s="24">
        <v>0.39224725027818402</v>
      </c>
      <c r="BM5" s="24">
        <v>9.6098008285251169E-2</v>
      </c>
      <c r="BN5" s="24">
        <v>6.5700350000104768E-2</v>
      </c>
      <c r="BO5" s="24">
        <v>-8.0743362678646902E-3</v>
      </c>
      <c r="BP5" s="24">
        <v>0.10442583678678651</v>
      </c>
      <c r="BQ5" s="24">
        <v>9.3887747240052555E-2</v>
      </c>
      <c r="BR5" s="24">
        <v>0.14298483367083389</v>
      </c>
      <c r="BS5" s="24">
        <v>4.8204921403832091E-2</v>
      </c>
      <c r="BT5" s="24">
        <v>5.7018102523321901E-2</v>
      </c>
      <c r="BU5" s="24">
        <v>-5.731005503735509E-3</v>
      </c>
      <c r="BV5" s="24">
        <v>7.2071442064085306E-2</v>
      </c>
      <c r="BW5" s="24">
        <v>7.2837999107270485E-2</v>
      </c>
      <c r="BX5" s="25">
        <v>0</v>
      </c>
      <c r="BY5" s="25">
        <v>0</v>
      </c>
      <c r="BZ5" s="25">
        <v>0</v>
      </c>
      <c r="CA5" s="25">
        <v>0</v>
      </c>
      <c r="CB5" s="25">
        <v>-58</v>
      </c>
      <c r="CC5" s="25">
        <v>0</v>
      </c>
      <c r="CD5" s="26">
        <v>3.400801284489896E-2</v>
      </c>
      <c r="CE5" s="26">
        <v>8.6747866336857715E-2</v>
      </c>
      <c r="CF5" s="26">
        <v>-6.5726494192950291E-2</v>
      </c>
      <c r="CG5" s="26">
        <v>-8.2570963302889377E-2</v>
      </c>
      <c r="CH5" s="26">
        <v>-9.9252070392486513E-2</v>
      </c>
      <c r="CI5" s="26">
        <v>-0.1289125413411937</v>
      </c>
      <c r="CJ5" s="26">
        <v>2.1998489674542491E-2</v>
      </c>
      <c r="CK5" s="26">
        <v>2.8653304874898412E-2</v>
      </c>
      <c r="CL5" s="26">
        <v>9.556210334916708E-3</v>
      </c>
      <c r="CM5" s="26">
        <v>-2.3534591182308381E-2</v>
      </c>
      <c r="CN5" s="26">
        <v>2.7842304272422329E-2</v>
      </c>
      <c r="CO5" s="26">
        <v>2.9889727772113291E-2</v>
      </c>
      <c r="CP5" s="27"/>
      <c r="CQ5" s="27">
        <v>-148</v>
      </c>
      <c r="CR5" s="27">
        <v>-17</v>
      </c>
      <c r="CS5" s="27">
        <v>48</v>
      </c>
      <c r="CT5" s="27">
        <v>-22</v>
      </c>
      <c r="CU5" s="27">
        <v>47</v>
      </c>
      <c r="CV5" s="26">
        <v>-0.51053418919712934</v>
      </c>
      <c r="CW5" s="26">
        <v>-0.17658501186022549</v>
      </c>
      <c r="CX5" s="26">
        <v>-7.6625345850800802E-2</v>
      </c>
      <c r="CY5" s="26">
        <v>1.146842324495578E-2</v>
      </c>
      <c r="CZ5" s="26">
        <v>-0.1672817394701285</v>
      </c>
      <c r="DA5" s="26">
        <v>-0.1106336071302276</v>
      </c>
    </row>
    <row r="6" spans="1:105" x14ac:dyDescent="0.3">
      <c r="A6" s="7" t="s">
        <v>21</v>
      </c>
      <c r="B6" s="7" t="s">
        <v>22</v>
      </c>
      <c r="C6" s="7" t="s">
        <v>2</v>
      </c>
      <c r="D6" s="7" t="s">
        <v>3</v>
      </c>
      <c r="E6" s="7" t="s">
        <v>4</v>
      </c>
      <c r="F6" s="7"/>
      <c r="G6" s="7"/>
      <c r="H6" s="7" t="s">
        <v>22</v>
      </c>
      <c r="I6" s="7"/>
      <c r="J6" s="8">
        <v>0.29360571799251178</v>
      </c>
      <c r="K6" s="8">
        <v>-8.0272155980208981E-2</v>
      </c>
      <c r="L6" s="8">
        <v>7.5476266625351673E-3</v>
      </c>
      <c r="M6" s="8">
        <v>-8.540700726923578E-2</v>
      </c>
      <c r="N6" s="8">
        <v>6.1766734130657142E-2</v>
      </c>
      <c r="O6" s="8">
        <v>-1.263749534581593E-2</v>
      </c>
      <c r="P6" s="8">
        <v>0.1005288782030429</v>
      </c>
      <c r="Q6" s="8">
        <v>-0.1117729321853688</v>
      </c>
      <c r="R6" s="8">
        <v>2.1871082556192911E-2</v>
      </c>
      <c r="S6" s="8">
        <v>-3.2305353253094297E-2</v>
      </c>
      <c r="T6" s="8">
        <v>-4.8006515759660973E-3</v>
      </c>
      <c r="U6" s="8">
        <v>3.5078559925555891E-2</v>
      </c>
      <c r="V6" s="23" t="b">
        <v>1</v>
      </c>
      <c r="W6" s="23" t="b">
        <v>0</v>
      </c>
      <c r="X6" s="23" t="b">
        <v>1</v>
      </c>
      <c r="Y6" s="23" t="b">
        <v>1</v>
      </c>
      <c r="Z6" s="23" t="b">
        <v>1</v>
      </c>
      <c r="AA6" s="23" t="b">
        <v>0</v>
      </c>
      <c r="AB6" s="10">
        <v>0.1172124855465598</v>
      </c>
      <c r="AC6" s="10">
        <v>-0.1122660816567326</v>
      </c>
      <c r="AD6" s="10">
        <v>1.500996043675429E-2</v>
      </c>
      <c r="AE6" s="10">
        <v>-3.2305353253094297E-2</v>
      </c>
      <c r="AF6" s="10">
        <v>-4.8006515759660973E-3</v>
      </c>
      <c r="AG6" s="10">
        <v>3.5078559925555891E-2</v>
      </c>
      <c r="AH6" s="11"/>
      <c r="AI6" s="11">
        <v>183</v>
      </c>
      <c r="AJ6" s="11">
        <v>-9</v>
      </c>
      <c r="AK6" s="11">
        <v>44</v>
      </c>
      <c r="AL6" s="11">
        <v>-109</v>
      </c>
      <c r="AM6" s="11">
        <v>3</v>
      </c>
      <c r="AN6" s="12" t="b">
        <v>1</v>
      </c>
      <c r="AO6" s="12" t="b">
        <v>0</v>
      </c>
      <c r="AP6" s="12" t="b">
        <v>0</v>
      </c>
      <c r="AQ6" s="12" t="b">
        <v>0</v>
      </c>
      <c r="AR6" s="12" t="b">
        <v>0</v>
      </c>
      <c r="AS6" s="12" t="b">
        <v>0</v>
      </c>
      <c r="AT6" s="12" t="b">
        <v>1</v>
      </c>
      <c r="AU6" s="12" t="b">
        <v>1</v>
      </c>
      <c r="AV6" s="12" t="b">
        <v>1</v>
      </c>
      <c r="AW6" s="12" t="b">
        <v>1</v>
      </c>
      <c r="AX6" s="12" t="b">
        <v>1</v>
      </c>
      <c r="AY6" s="12" t="b">
        <v>1</v>
      </c>
      <c r="AZ6" s="10">
        <v>-0.12908386273309069</v>
      </c>
      <c r="BA6" s="10">
        <v>4.4065223850482997E-2</v>
      </c>
      <c r="BB6" s="10">
        <v>-1.393222091274119E-2</v>
      </c>
      <c r="BC6" s="10">
        <v>1.048007494462002E-2</v>
      </c>
      <c r="BD6" s="10">
        <v>-6.8466786585431871E-3</v>
      </c>
      <c r="BE6" s="10">
        <v>-6.7257694054846176E-3</v>
      </c>
      <c r="BF6" s="12" t="b">
        <v>0</v>
      </c>
      <c r="BG6" s="12" t="b">
        <v>0</v>
      </c>
      <c r="BH6" s="12" t="b">
        <v>0</v>
      </c>
      <c r="BI6" s="12" t="b">
        <v>0</v>
      </c>
      <c r="BJ6" s="12" t="b">
        <v>0</v>
      </c>
      <c r="BK6" s="12" t="b">
        <v>0</v>
      </c>
      <c r="BL6" s="24">
        <v>0.19211184417899149</v>
      </c>
      <c r="BM6" s="24">
        <v>-0.22090821084021539</v>
      </c>
      <c r="BN6" s="24">
        <v>1.865603812212591E-2</v>
      </c>
      <c r="BO6" s="24">
        <v>-4.5514575975825422E-2</v>
      </c>
      <c r="BP6" s="24">
        <v>-2.6820927644266801E-2</v>
      </c>
      <c r="BQ6" s="24">
        <v>4.5216054919153807E-2</v>
      </c>
      <c r="BR6" s="24">
        <v>0.1005288782030429</v>
      </c>
      <c r="BS6" s="24">
        <v>-0.1117729321853688</v>
      </c>
      <c r="BT6" s="24">
        <v>2.1871082556192911E-2</v>
      </c>
      <c r="BU6" s="24">
        <v>-3.2305353253094297E-2</v>
      </c>
      <c r="BV6" s="24">
        <v>-1.8510964262278991E-2</v>
      </c>
      <c r="BW6" s="24">
        <v>3.5078559925555891E-2</v>
      </c>
      <c r="BX6" s="25">
        <v>55</v>
      </c>
      <c r="BY6" s="25">
        <v>-2</v>
      </c>
      <c r="BZ6" s="25">
        <v>0</v>
      </c>
      <c r="CA6" s="25">
        <v>0</v>
      </c>
      <c r="CB6" s="25">
        <v>-56</v>
      </c>
      <c r="CC6" s="25">
        <v>0</v>
      </c>
      <c r="CD6" s="26">
        <v>8.5137878890398033E-2</v>
      </c>
      <c r="CE6" s="26">
        <v>0.1805128186650207</v>
      </c>
      <c r="CF6" s="26">
        <v>-1.090496796157892E-2</v>
      </c>
      <c r="CG6" s="26">
        <v>-4.1794699310567777E-2</v>
      </c>
      <c r="CH6" s="26">
        <v>9.1029147966040558E-2</v>
      </c>
      <c r="CI6" s="26">
        <v>-5.5350805216482057E-2</v>
      </c>
      <c r="CJ6" s="26">
        <v>2.4848007519412958E-3</v>
      </c>
      <c r="CK6" s="26">
        <v>-4.6127846271497568E-2</v>
      </c>
      <c r="CL6" s="26">
        <v>4.8157395819580194E-3</v>
      </c>
      <c r="CM6" s="26">
        <v>-3.8224222220103909E-2</v>
      </c>
      <c r="CN6" s="26">
        <v>2.2201228230003811E-5</v>
      </c>
      <c r="CO6" s="26">
        <v>-1.0968213900579889E-2</v>
      </c>
      <c r="CP6" s="27"/>
      <c r="CQ6" s="27">
        <v>185</v>
      </c>
      <c r="CR6" s="27">
        <v>-9</v>
      </c>
      <c r="CS6" s="27">
        <v>44</v>
      </c>
      <c r="CT6" s="27">
        <v>-53</v>
      </c>
      <c r="CU6" s="27">
        <v>3</v>
      </c>
      <c r="CV6" s="26">
        <v>-0.36119647727554871</v>
      </c>
      <c r="CW6" s="26">
        <v>0.58850772060437406</v>
      </c>
      <c r="CX6" s="26">
        <v>-2.2763116951247189E-2</v>
      </c>
      <c r="CY6" s="26">
        <v>6.7182661872461191E-2</v>
      </c>
      <c r="CZ6" s="26">
        <v>1.057916733887931E-2</v>
      </c>
      <c r="DA6" s="26">
        <v>-5.57618928091001E-2</v>
      </c>
    </row>
    <row r="7" spans="1:105" x14ac:dyDescent="0.3">
      <c r="A7" s="7" t="s">
        <v>19</v>
      </c>
      <c r="B7" s="7" t="s">
        <v>20</v>
      </c>
      <c r="C7" s="7" t="s">
        <v>2</v>
      </c>
      <c r="D7" s="7" t="s">
        <v>3</v>
      </c>
      <c r="E7" s="7" t="s">
        <v>4</v>
      </c>
      <c r="F7" s="7"/>
      <c r="G7" s="7"/>
      <c r="H7" s="7" t="s">
        <v>20</v>
      </c>
      <c r="I7" s="7"/>
      <c r="J7" s="8">
        <v>0.33078389007050713</v>
      </c>
      <c r="K7" s="8">
        <v>-0.1066351355555943</v>
      </c>
      <c r="L7" s="8">
        <v>3.0518485965576939E-2</v>
      </c>
      <c r="M7" s="8">
        <v>-0.11754649742900861</v>
      </c>
      <c r="N7" s="8">
        <v>7.3060494212853211E-2</v>
      </c>
      <c r="O7" s="8">
        <v>1.189854660096956E-2</v>
      </c>
      <c r="P7" s="8">
        <v>9.0445701343375595E-2</v>
      </c>
      <c r="Q7" s="8">
        <v>-0.10599776409822149</v>
      </c>
      <c r="R7" s="8">
        <v>2.6459062258978708E-2</v>
      </c>
      <c r="S7" s="8">
        <v>-5.1005399585797528E-2</v>
      </c>
      <c r="T7" s="8">
        <v>-1.416529970543978E-2</v>
      </c>
      <c r="U7" s="8">
        <v>2.76332561315458E-2</v>
      </c>
      <c r="V7" s="23" t="b">
        <v>1</v>
      </c>
      <c r="W7" s="23" t="b">
        <v>0</v>
      </c>
      <c r="X7" s="23" t="b">
        <v>1</v>
      </c>
      <c r="Y7" s="23" t="b">
        <v>0</v>
      </c>
      <c r="Z7" s="23" t="b">
        <v>1</v>
      </c>
      <c r="AA7" s="23" t="b">
        <v>1</v>
      </c>
      <c r="AB7" s="10">
        <v>0.1104793000844061</v>
      </c>
      <c r="AC7" s="10">
        <v>-0.1064909135695853</v>
      </c>
      <c r="AD7" s="10">
        <v>1.979389949380039E-2</v>
      </c>
      <c r="AE7" s="10">
        <v>-5.1005399585797528E-2</v>
      </c>
      <c r="AF7" s="10">
        <v>-1.416529970543978E-2</v>
      </c>
      <c r="AG7" s="10">
        <v>2.76332561315458E-2</v>
      </c>
      <c r="AH7" s="11"/>
      <c r="AI7" s="11">
        <v>240</v>
      </c>
      <c r="AJ7" s="11">
        <v>-23</v>
      </c>
      <c r="AK7" s="11">
        <v>59</v>
      </c>
      <c r="AL7" s="11">
        <v>-109</v>
      </c>
      <c r="AM7" s="11">
        <v>-3</v>
      </c>
      <c r="AN7" s="12" t="b">
        <v>1</v>
      </c>
      <c r="AO7" s="12" t="b">
        <v>0</v>
      </c>
      <c r="AP7" s="12" t="b">
        <v>0</v>
      </c>
      <c r="AQ7" s="12" t="b">
        <v>0</v>
      </c>
      <c r="AR7" s="12" t="b">
        <v>0</v>
      </c>
      <c r="AS7" s="12" t="b">
        <v>0</v>
      </c>
      <c r="AT7" s="12" t="b">
        <v>1</v>
      </c>
      <c r="AU7" s="12" t="b">
        <v>1</v>
      </c>
      <c r="AV7" s="12" t="b">
        <v>1</v>
      </c>
      <c r="AW7" s="12" t="b">
        <v>1</v>
      </c>
      <c r="AX7" s="12" t="b">
        <v>1</v>
      </c>
      <c r="AY7" s="12" t="b">
        <v>1</v>
      </c>
      <c r="AZ7" s="10">
        <v>-0.12638916092360589</v>
      </c>
      <c r="BA7" s="10">
        <v>5.0748551846173912E-2</v>
      </c>
      <c r="BB7" s="10">
        <v>-1.6519550630311311E-2</v>
      </c>
      <c r="BC7" s="10">
        <v>2.061873466389667E-2</v>
      </c>
      <c r="BD7" s="10">
        <v>-1.3483211429510811E-3</v>
      </c>
      <c r="BE7" s="10">
        <v>-7.370046652515172E-3</v>
      </c>
      <c r="BF7" s="12" t="b">
        <v>0</v>
      </c>
      <c r="BG7" s="12" t="b">
        <v>0</v>
      </c>
      <c r="BH7" s="12" t="b">
        <v>0</v>
      </c>
      <c r="BI7" s="12" t="b">
        <v>0</v>
      </c>
      <c r="BJ7" s="12" t="b">
        <v>0</v>
      </c>
      <c r="BK7" s="12" t="b">
        <v>0</v>
      </c>
      <c r="BL7" s="24">
        <v>0.17939671269923929</v>
      </c>
      <c r="BM7" s="24">
        <v>-0.20554612729747901</v>
      </c>
      <c r="BN7" s="24">
        <v>2.4602046427626641E-2</v>
      </c>
      <c r="BO7" s="24">
        <v>-7.1860818745350219E-2</v>
      </c>
      <c r="BP7" s="24">
        <v>-3.9660121765820677E-2</v>
      </c>
      <c r="BQ7" s="24">
        <v>3.5619102651039743E-2</v>
      </c>
      <c r="BR7" s="24">
        <v>9.0445701343375595E-2</v>
      </c>
      <c r="BS7" s="24">
        <v>-0.10599776409822149</v>
      </c>
      <c r="BT7" s="24">
        <v>2.6459062258978708E-2</v>
      </c>
      <c r="BU7" s="24">
        <v>-5.1005399585797528E-2</v>
      </c>
      <c r="BV7" s="24">
        <v>-2.7372173937528721E-2</v>
      </c>
      <c r="BW7" s="24">
        <v>2.76332561315458E-2</v>
      </c>
      <c r="BX7" s="25">
        <v>55</v>
      </c>
      <c r="BY7" s="25">
        <v>-2</v>
      </c>
      <c r="BZ7" s="25">
        <v>0</v>
      </c>
      <c r="CA7" s="25">
        <v>0</v>
      </c>
      <c r="CB7" s="25">
        <v>-56</v>
      </c>
      <c r="CC7" s="25">
        <v>0</v>
      </c>
      <c r="CD7" s="26">
        <v>0.12835984341926321</v>
      </c>
      <c r="CE7" s="26">
        <v>0.1245018686930381</v>
      </c>
      <c r="CF7" s="26">
        <v>5.7743780217682783E-3</v>
      </c>
      <c r="CG7" s="26">
        <v>-4.9222874765291968E-2</v>
      </c>
      <c r="CH7" s="26">
        <v>0.1173757526199353</v>
      </c>
      <c r="CI7" s="26">
        <v>-2.2904710804724341E-2</v>
      </c>
      <c r="CJ7" s="26">
        <v>-2.398568180086991E-4</v>
      </c>
      <c r="CK7" s="26">
        <v>-4.0494049386485383E-2</v>
      </c>
      <c r="CL7" s="26">
        <v>2.8737982063480288E-3</v>
      </c>
      <c r="CM7" s="26">
        <v>-4.4049040676523273E-2</v>
      </c>
      <c r="CN7" s="26">
        <v>-1.106372912863959E-2</v>
      </c>
      <c r="CO7" s="26">
        <v>-5.069137991063899E-3</v>
      </c>
      <c r="CP7" s="27"/>
      <c r="CQ7" s="27">
        <v>242</v>
      </c>
      <c r="CR7" s="27">
        <v>-23</v>
      </c>
      <c r="CS7" s="27">
        <v>59</v>
      </c>
      <c r="CT7" s="27">
        <v>-53</v>
      </c>
      <c r="CU7" s="27">
        <v>-3</v>
      </c>
      <c r="CV7" s="26">
        <v>-0.34411819380905317</v>
      </c>
      <c r="CW7" s="26">
        <v>0.54996743168043105</v>
      </c>
      <c r="CX7" s="26">
        <v>-2.9843921418162282E-2</v>
      </c>
      <c r="CY7" s="26">
        <v>0.10908249455598409</v>
      </c>
      <c r="CZ7" s="26">
        <v>3.1657652081881871E-2</v>
      </c>
      <c r="DA7" s="26">
        <v>-4.4333685190710487E-2</v>
      </c>
    </row>
    <row r="8" spans="1:105" x14ac:dyDescent="0.3">
      <c r="A8" s="7" t="s">
        <v>17</v>
      </c>
      <c r="B8" s="7" t="s">
        <v>18</v>
      </c>
      <c r="C8" s="7" t="s">
        <v>2</v>
      </c>
      <c r="D8" s="7" t="s">
        <v>3</v>
      </c>
      <c r="E8" s="7" t="s">
        <v>4</v>
      </c>
      <c r="F8" s="7"/>
      <c r="G8" s="7"/>
      <c r="H8" s="7" t="s">
        <v>18</v>
      </c>
      <c r="I8" s="7"/>
      <c r="J8" s="8">
        <v>0.3570004269569067</v>
      </c>
      <c r="K8" s="8">
        <v>-0.12633009796459929</v>
      </c>
      <c r="L8" s="8">
        <v>3.0487033079174889E-2</v>
      </c>
      <c r="M8" s="8">
        <v>-9.1492216297849871E-2</v>
      </c>
      <c r="N8" s="8">
        <v>0.10386603793757949</v>
      </c>
      <c r="O8" s="8">
        <v>-9.7934285050607084E-3</v>
      </c>
      <c r="P8" s="8">
        <v>6.4113455146342091E-2</v>
      </c>
      <c r="Q8" s="8">
        <v>-0.11065959150331151</v>
      </c>
      <c r="R8" s="8">
        <v>4.0757997726719418E-2</v>
      </c>
      <c r="S8" s="8">
        <v>-3.0538424456967809E-2</v>
      </c>
      <c r="T8" s="8">
        <v>-1.40788867506646E-2</v>
      </c>
      <c r="U8" s="8">
        <v>5.3037765538068188E-2</v>
      </c>
      <c r="V8" s="23" t="b">
        <v>1</v>
      </c>
      <c r="W8" s="23" t="b">
        <v>0</v>
      </c>
      <c r="X8" s="23" t="b">
        <v>1</v>
      </c>
      <c r="Y8" s="23" t="b">
        <v>0</v>
      </c>
      <c r="Z8" s="23" t="b">
        <v>1</v>
      </c>
      <c r="AA8" s="23" t="b">
        <v>0</v>
      </c>
      <c r="AB8" s="10">
        <v>8.8317433956045799E-2</v>
      </c>
      <c r="AC8" s="10">
        <v>-0.1111527409746753</v>
      </c>
      <c r="AD8" s="10">
        <v>3.3896875607280802E-2</v>
      </c>
      <c r="AE8" s="10">
        <v>-3.0538424456967809E-2</v>
      </c>
      <c r="AF8" s="10">
        <v>-1.40788867506646E-2</v>
      </c>
      <c r="AG8" s="10">
        <v>5.3037765538068188E-2</v>
      </c>
      <c r="AH8" s="11"/>
      <c r="AI8" s="11">
        <v>240</v>
      </c>
      <c r="AJ8" s="11">
        <v>-30</v>
      </c>
      <c r="AK8" s="11">
        <v>54</v>
      </c>
      <c r="AL8" s="11">
        <v>-112</v>
      </c>
      <c r="AM8" s="11">
        <v>1</v>
      </c>
      <c r="AN8" s="12" t="b">
        <v>1</v>
      </c>
      <c r="AO8" s="12" t="b">
        <v>0</v>
      </c>
      <c r="AP8" s="12" t="b">
        <v>0</v>
      </c>
      <c r="AQ8" s="12" t="b">
        <v>0</v>
      </c>
      <c r="AR8" s="12" t="b">
        <v>0</v>
      </c>
      <c r="AS8" s="12" t="b">
        <v>0</v>
      </c>
      <c r="AT8" s="12" t="b">
        <v>1</v>
      </c>
      <c r="AU8" s="12" t="b">
        <v>1</v>
      </c>
      <c r="AV8" s="12" t="b">
        <v>1</v>
      </c>
      <c r="AW8" s="12" t="b">
        <v>1</v>
      </c>
      <c r="AX8" s="12" t="b">
        <v>1</v>
      </c>
      <c r="AY8" s="12" t="b">
        <v>1</v>
      </c>
      <c r="AZ8" s="10">
        <v>-0.11521659101389441</v>
      </c>
      <c r="BA8" s="10">
        <v>6.0512093758804619E-2</v>
      </c>
      <c r="BB8" s="10">
        <v>-2.1666553667373759E-2</v>
      </c>
      <c r="BC8" s="10">
        <v>1.12412347660369E-2</v>
      </c>
      <c r="BD8" s="10">
        <v>-5.3728155377286979E-3</v>
      </c>
      <c r="BE8" s="10">
        <v>-1.354577173168554E-2</v>
      </c>
      <c r="BF8" s="12" t="b">
        <v>0</v>
      </c>
      <c r="BG8" s="12" t="b">
        <v>0</v>
      </c>
      <c r="BH8" s="12" t="b">
        <v>0</v>
      </c>
      <c r="BI8" s="12" t="b">
        <v>0</v>
      </c>
      <c r="BJ8" s="12" t="b">
        <v>0</v>
      </c>
      <c r="BK8" s="12" t="b">
        <v>0</v>
      </c>
      <c r="BL8" s="24">
        <v>0.13754563890323501</v>
      </c>
      <c r="BM8" s="24">
        <v>-0.2207471950377711</v>
      </c>
      <c r="BN8" s="24">
        <v>4.2130784169284403E-2</v>
      </c>
      <c r="BO8" s="24">
        <v>-4.3025173853981517E-2</v>
      </c>
      <c r="BP8" s="24">
        <v>-3.5107792980837882E-2</v>
      </c>
      <c r="BQ8" s="24">
        <v>6.8365364041394372E-2</v>
      </c>
      <c r="BR8" s="24">
        <v>6.4113455146342091E-2</v>
      </c>
      <c r="BS8" s="24">
        <v>-0.11065959150331151</v>
      </c>
      <c r="BT8" s="24">
        <v>4.0757997726719418E-2</v>
      </c>
      <c r="BU8" s="24">
        <v>-3.0538424456967809E-2</v>
      </c>
      <c r="BV8" s="24">
        <v>-2.4230299183357729E-2</v>
      </c>
      <c r="BW8" s="24">
        <v>5.3037765538068188E-2</v>
      </c>
      <c r="BX8" s="25">
        <v>55</v>
      </c>
      <c r="BY8" s="25">
        <v>-2</v>
      </c>
      <c r="BZ8" s="25">
        <v>0</v>
      </c>
      <c r="CA8" s="25">
        <v>0</v>
      </c>
      <c r="CB8" s="25">
        <v>-42</v>
      </c>
      <c r="CC8" s="25">
        <v>0</v>
      </c>
      <c r="CD8" s="26">
        <v>0.19291954586126289</v>
      </c>
      <c r="CE8" s="26">
        <v>0.1211636281216186</v>
      </c>
      <c r="CF8" s="26">
        <v>-1.117302287485056E-2</v>
      </c>
      <c r="CG8" s="26">
        <v>-5.0646099687969293E-2</v>
      </c>
      <c r="CH8" s="26">
        <v>0.14403042112626091</v>
      </c>
      <c r="CI8" s="26">
        <v>-7.3157362805920001E-2</v>
      </c>
      <c r="CJ8" s="26">
        <v>4.6873532550743002E-3</v>
      </c>
      <c r="CK8" s="26">
        <v>-5.0683801641452891E-2</v>
      </c>
      <c r="CL8" s="26">
        <v>9.6071676436130168E-3</v>
      </c>
      <c r="CM8" s="26">
        <v>-4.7600057023980853E-2</v>
      </c>
      <c r="CN8" s="26">
        <v>-8.1335303305313938E-3</v>
      </c>
      <c r="CO8" s="26">
        <v>2.087966202219738E-3</v>
      </c>
      <c r="CP8" s="27"/>
      <c r="CQ8" s="27">
        <v>242</v>
      </c>
      <c r="CR8" s="27">
        <v>-30</v>
      </c>
      <c r="CS8" s="27">
        <v>54</v>
      </c>
      <c r="CT8" s="27">
        <v>-70</v>
      </c>
      <c r="CU8" s="27">
        <v>1</v>
      </c>
      <c r="CV8" s="26">
        <v>-0.28520966985559898</v>
      </c>
      <c r="CW8" s="26">
        <v>0.58098801234572894</v>
      </c>
      <c r="CX8" s="26">
        <v>-5.0247816062426481E-2</v>
      </c>
      <c r="CY8" s="26">
        <v>6.3342926912418718E-2</v>
      </c>
      <c r="CZ8" s="26">
        <v>3.1460422653136977E-2</v>
      </c>
      <c r="DA8" s="26">
        <v>-8.248353066470579E-2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3B32-B75D-45F2-AD67-10FBFFC1F7A9}">
  <dimension ref="A1:CU8"/>
  <sheetViews>
    <sheetView workbookViewId="0"/>
  </sheetViews>
  <sheetFormatPr defaultRowHeight="14.4" x14ac:dyDescent="0.3"/>
  <sheetData>
    <row r="1" spans="1:99" x14ac:dyDescent="0.3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5" t="s">
        <v>50</v>
      </c>
      <c r="K1" s="15" t="s">
        <v>51</v>
      </c>
      <c r="L1" s="15" t="s">
        <v>52</v>
      </c>
      <c r="M1" s="15" t="s">
        <v>53</v>
      </c>
      <c r="N1" s="15" t="s">
        <v>54</v>
      </c>
      <c r="O1" s="15" t="s">
        <v>55</v>
      </c>
      <c r="P1" s="15" t="s">
        <v>56</v>
      </c>
      <c r="Q1" s="15" t="s">
        <v>57</v>
      </c>
      <c r="R1" s="15" t="s">
        <v>58</v>
      </c>
      <c r="S1" s="15" t="s">
        <v>59</v>
      </c>
      <c r="T1" s="15" t="s">
        <v>60</v>
      </c>
      <c r="U1" s="15" t="s">
        <v>61</v>
      </c>
      <c r="V1" s="15" t="s">
        <v>62</v>
      </c>
      <c r="W1" s="15" t="s">
        <v>63</v>
      </c>
      <c r="X1" s="15" t="s">
        <v>64</v>
      </c>
      <c r="Y1" s="15" t="s">
        <v>65</v>
      </c>
      <c r="Z1" s="15" t="s">
        <v>66</v>
      </c>
      <c r="AA1" s="15" t="s">
        <v>67</v>
      </c>
      <c r="AB1" s="16" t="s">
        <v>68</v>
      </c>
      <c r="AC1" s="16" t="s">
        <v>69</v>
      </c>
      <c r="AD1" s="16" t="s">
        <v>70</v>
      </c>
      <c r="AE1" s="16" t="s">
        <v>71</v>
      </c>
      <c r="AF1" s="16" t="s">
        <v>72</v>
      </c>
      <c r="AG1" s="16" t="s">
        <v>73</v>
      </c>
      <c r="AH1" s="16" t="s">
        <v>74</v>
      </c>
      <c r="AI1" s="16" t="s">
        <v>75</v>
      </c>
      <c r="AJ1" s="16" t="s">
        <v>76</v>
      </c>
      <c r="AK1" s="16" t="s">
        <v>77</v>
      </c>
      <c r="AL1" s="16" t="s">
        <v>78</v>
      </c>
      <c r="AM1" s="16" t="s">
        <v>79</v>
      </c>
      <c r="AN1" s="16" t="s">
        <v>80</v>
      </c>
      <c r="AO1" s="16" t="s">
        <v>81</v>
      </c>
      <c r="AP1" s="16" t="s">
        <v>82</v>
      </c>
      <c r="AQ1" s="16" t="s">
        <v>83</v>
      </c>
      <c r="AR1" s="16" t="s">
        <v>84</v>
      </c>
      <c r="AS1" s="16" t="s">
        <v>85</v>
      </c>
      <c r="AT1" s="16" t="s">
        <v>86</v>
      </c>
      <c r="AU1" s="16" t="s">
        <v>87</v>
      </c>
      <c r="AV1" s="16" t="s">
        <v>88</v>
      </c>
      <c r="AW1" s="16" t="s">
        <v>89</v>
      </c>
      <c r="AX1" s="16" t="s">
        <v>90</v>
      </c>
      <c r="AY1" s="16" t="s">
        <v>91</v>
      </c>
      <c r="AZ1" s="16" t="s">
        <v>92</v>
      </c>
      <c r="BA1" s="16" t="s">
        <v>93</v>
      </c>
      <c r="BB1" s="16" t="s">
        <v>94</v>
      </c>
      <c r="BC1" s="16" t="s">
        <v>95</v>
      </c>
      <c r="BD1" s="16" t="s">
        <v>96</v>
      </c>
      <c r="BE1" s="16" t="s">
        <v>97</v>
      </c>
      <c r="BF1" s="29" t="s">
        <v>98</v>
      </c>
      <c r="BG1" s="29" t="s">
        <v>99</v>
      </c>
      <c r="BH1" s="29" t="s">
        <v>100</v>
      </c>
      <c r="BI1" s="29" t="s">
        <v>101</v>
      </c>
      <c r="BJ1" s="29" t="s">
        <v>102</v>
      </c>
      <c r="BK1" s="29" t="s">
        <v>103</v>
      </c>
      <c r="BL1" s="29" t="s">
        <v>104</v>
      </c>
      <c r="BM1" s="29" t="s">
        <v>105</v>
      </c>
      <c r="BN1" s="29" t="s">
        <v>106</v>
      </c>
      <c r="BO1" s="29" t="s">
        <v>107</v>
      </c>
      <c r="BP1" s="29" t="s">
        <v>108</v>
      </c>
      <c r="BQ1" s="29" t="s">
        <v>109</v>
      </c>
      <c r="BR1" s="29" t="s">
        <v>110</v>
      </c>
      <c r="BS1" s="29" t="s">
        <v>111</v>
      </c>
      <c r="BT1" s="29" t="s">
        <v>112</v>
      </c>
      <c r="BU1" s="29" t="s">
        <v>113</v>
      </c>
      <c r="BV1" s="29" t="s">
        <v>114</v>
      </c>
      <c r="BW1" s="29" t="s">
        <v>115</v>
      </c>
      <c r="BX1" s="30" t="s">
        <v>116</v>
      </c>
      <c r="BY1" s="30" t="s">
        <v>117</v>
      </c>
      <c r="BZ1" s="30" t="s">
        <v>118</v>
      </c>
      <c r="CA1" s="30" t="s">
        <v>119</v>
      </c>
      <c r="CB1" s="30" t="s">
        <v>120</v>
      </c>
      <c r="CC1" s="30" t="s">
        <v>121</v>
      </c>
      <c r="CD1" s="30" t="s">
        <v>122</v>
      </c>
      <c r="CE1" s="30" t="s">
        <v>123</v>
      </c>
      <c r="CF1" s="30" t="s">
        <v>124</v>
      </c>
      <c r="CG1" s="30" t="s">
        <v>125</v>
      </c>
      <c r="CH1" s="30" t="s">
        <v>126</v>
      </c>
      <c r="CI1" s="30" t="s">
        <v>127</v>
      </c>
      <c r="CJ1" s="30" t="s">
        <v>128</v>
      </c>
      <c r="CK1" s="30" t="s">
        <v>129</v>
      </c>
      <c r="CL1" s="30" t="s">
        <v>130</v>
      </c>
      <c r="CM1" s="30" t="s">
        <v>131</v>
      </c>
      <c r="CN1" s="30" t="s">
        <v>132</v>
      </c>
      <c r="CO1" s="30" t="s">
        <v>133</v>
      </c>
      <c r="CP1" s="30" t="s">
        <v>134</v>
      </c>
      <c r="CQ1" s="30" t="s">
        <v>135</v>
      </c>
      <c r="CR1" s="30" t="s">
        <v>136</v>
      </c>
      <c r="CS1" s="30" t="s">
        <v>137</v>
      </c>
      <c r="CT1" s="30" t="s">
        <v>138</v>
      </c>
      <c r="CU1" s="30" t="s">
        <v>139</v>
      </c>
    </row>
    <row r="2" spans="1:99" x14ac:dyDescent="0.3">
      <c r="A2" t="s">
        <v>8</v>
      </c>
      <c r="B2" t="s">
        <v>9</v>
      </c>
      <c r="C2" t="s">
        <v>2</v>
      </c>
      <c r="D2" t="s">
        <v>10</v>
      </c>
      <c r="E2" t="s">
        <v>4</v>
      </c>
      <c r="J2" s="1">
        <v>-9.3431441967671724E-2</v>
      </c>
      <c r="K2" s="1">
        <v>5.3905871018188112E-2</v>
      </c>
      <c r="L2" s="1">
        <v>2.3409870640932029E-2</v>
      </c>
      <c r="M2" s="1">
        <v>9.7826472077146009E-2</v>
      </c>
      <c r="N2" s="1">
        <v>6.1017035433937439E-2</v>
      </c>
      <c r="O2" s="1">
        <v>-2.3960270039755649E-3</v>
      </c>
      <c r="P2" s="1">
        <v>-0.48623094424414098</v>
      </c>
      <c r="Q2" s="1">
        <v>-0.50400240232867777</v>
      </c>
      <c r="R2" s="1">
        <v>-0.20229799148600741</v>
      </c>
      <c r="S2" s="1">
        <v>-0.29021961513487848</v>
      </c>
      <c r="T2" s="1">
        <v>-0.32396085334287411</v>
      </c>
      <c r="U2" s="1">
        <v>-0.2242012270138081</v>
      </c>
      <c r="V2" s="17" t="b">
        <v>0</v>
      </c>
      <c r="W2" s="17" t="b">
        <v>1</v>
      </c>
      <c r="X2" s="17" t="b">
        <v>1</v>
      </c>
      <c r="Y2" s="17" t="b">
        <v>1</v>
      </c>
      <c r="Z2" s="17" t="b">
        <v>1</v>
      </c>
      <c r="AA2" s="17" t="b">
        <v>0</v>
      </c>
      <c r="AB2" s="3">
        <v>-0.48594019777912362</v>
      </c>
      <c r="AC2" s="3">
        <v>-0.50350925285731396</v>
      </c>
      <c r="AD2" s="3">
        <v>-0.19543686936656879</v>
      </c>
      <c r="AE2" s="3">
        <v>-0.29021961513487848</v>
      </c>
      <c r="AF2" s="3">
        <v>-0.32396085334287411</v>
      </c>
      <c r="AG2" s="3">
        <v>-0.2242012270138081</v>
      </c>
      <c r="AH2" s="18">
        <v>1896</v>
      </c>
      <c r="AI2" s="4">
        <v>1215</v>
      </c>
      <c r="AJ2" s="4">
        <v>140</v>
      </c>
      <c r="AK2" s="4">
        <v>78</v>
      </c>
      <c r="AL2" s="4">
        <v>473</v>
      </c>
      <c r="AM2" s="4">
        <v>89</v>
      </c>
      <c r="AN2" s="5" t="b">
        <v>0</v>
      </c>
      <c r="AO2" s="5" t="b">
        <v>1</v>
      </c>
      <c r="AP2" s="5" t="b">
        <v>1</v>
      </c>
      <c r="AQ2" s="5" t="b">
        <v>1</v>
      </c>
      <c r="AR2" s="5" t="b">
        <v>1</v>
      </c>
      <c r="AS2" s="5" t="b">
        <v>1</v>
      </c>
      <c r="AT2" s="3">
        <v>0.26575751720787311</v>
      </c>
      <c r="AU2" s="3">
        <v>0.15617271205289129</v>
      </c>
      <c r="AV2" s="3">
        <v>5.2189633756878802E-2</v>
      </c>
      <c r="AW2" s="3">
        <v>5.728893254440421E-2</v>
      </c>
      <c r="AX2" s="3">
        <v>0.14561750326945719</v>
      </c>
      <c r="AY2" s="3">
        <v>6.6336420044518785E-2</v>
      </c>
      <c r="AZ2" s="5" t="b">
        <v>0</v>
      </c>
      <c r="BA2" s="5" t="b">
        <v>0</v>
      </c>
      <c r="BB2" s="5" t="b">
        <v>0</v>
      </c>
      <c r="BC2" s="5" t="b">
        <v>0</v>
      </c>
      <c r="BD2" s="5" t="b">
        <v>0</v>
      </c>
      <c r="BE2" s="5" t="b">
        <v>0</v>
      </c>
      <c r="BF2" s="19">
        <v>-0.47045884087982232</v>
      </c>
      <c r="BG2" s="19">
        <v>-0.50350925285731396</v>
      </c>
      <c r="BH2" s="19">
        <v>-0.19543686936656879</v>
      </c>
      <c r="BI2" s="19">
        <v>-0.29021961513487859</v>
      </c>
      <c r="BJ2" s="19">
        <v>-0.30983131874500969</v>
      </c>
      <c r="BK2" s="19">
        <v>-0.2242012270138081</v>
      </c>
      <c r="BL2" s="19">
        <v>-0.48623094424414098</v>
      </c>
      <c r="BM2" s="19">
        <v>-0.50400240232867777</v>
      </c>
      <c r="BN2" s="19">
        <v>-0.20229799148600741</v>
      </c>
      <c r="BO2" s="19">
        <v>-0.29021961513487848</v>
      </c>
      <c r="BP2" s="19">
        <v>-0.3098313187450098</v>
      </c>
      <c r="BQ2" s="19">
        <v>-0.2242012270138081</v>
      </c>
      <c r="BR2" s="20">
        <v>583</v>
      </c>
      <c r="BS2" s="20">
        <v>355</v>
      </c>
      <c r="BT2" s="20">
        <v>64</v>
      </c>
      <c r="BU2" s="20">
        <v>23</v>
      </c>
      <c r="BV2" s="20">
        <v>253</v>
      </c>
      <c r="BW2" s="20">
        <v>34</v>
      </c>
      <c r="BX2" s="21">
        <v>0.71198884622788161</v>
      </c>
      <c r="BY2" s="21">
        <v>1.122709994261599</v>
      </c>
      <c r="BZ2" s="21">
        <v>0.27200692111656061</v>
      </c>
      <c r="CA2" s="21">
        <v>0.5467128924473792</v>
      </c>
      <c r="CB2" s="21">
        <v>0.53733002416829923</v>
      </c>
      <c r="CC2" s="21">
        <v>0.28590558239227892</v>
      </c>
      <c r="CD2" s="21">
        <v>-0.13952917406689419</v>
      </c>
      <c r="CE2" s="21">
        <v>-0.15303434337564231</v>
      </c>
      <c r="CF2" s="21">
        <v>-3.2860684936046318E-2</v>
      </c>
      <c r="CG2" s="21">
        <v>-5.1851565878860861E-2</v>
      </c>
      <c r="CH2" s="21">
        <v>-0.10554020301747651</v>
      </c>
      <c r="CI2" s="21">
        <v>-7.8998256628357577E-2</v>
      </c>
      <c r="CJ2" s="18">
        <v>1313</v>
      </c>
      <c r="CK2" s="22">
        <v>860</v>
      </c>
      <c r="CL2" s="22">
        <v>76</v>
      </c>
      <c r="CM2" s="22">
        <v>55</v>
      </c>
      <c r="CN2" s="22">
        <v>220</v>
      </c>
      <c r="CO2" s="22">
        <v>55</v>
      </c>
      <c r="CP2" s="21">
        <v>0.94529896264934821</v>
      </c>
      <c r="CQ2" s="21">
        <v>1.014136226616547</v>
      </c>
      <c r="CR2" s="21">
        <v>0.24291054601607409</v>
      </c>
      <c r="CS2" s="21">
        <v>0.40888649689865469</v>
      </c>
      <c r="CT2" s="21">
        <v>0.47920428120885239</v>
      </c>
      <c r="CU2" s="21">
        <v>0.28899404693670289</v>
      </c>
    </row>
    <row r="3" spans="1:99" x14ac:dyDescent="0.3">
      <c r="A3" s="7" t="s">
        <v>11</v>
      </c>
      <c r="B3" s="7" t="s">
        <v>12</v>
      </c>
      <c r="C3" s="7" t="s">
        <v>2</v>
      </c>
      <c r="D3" s="7" t="s">
        <v>3</v>
      </c>
      <c r="E3" s="7" t="s">
        <v>4</v>
      </c>
      <c r="F3" s="7"/>
      <c r="G3" s="7"/>
      <c r="H3" s="7" t="s">
        <v>12</v>
      </c>
      <c r="I3" s="7"/>
      <c r="J3" s="8">
        <v>0.13794313687170209</v>
      </c>
      <c r="K3" s="8">
        <v>2.2746169886339599E-2</v>
      </c>
      <c r="L3" s="8">
        <v>2.7398092643584841E-2</v>
      </c>
      <c r="M3" s="8">
        <v>9.6713127772620755E-3</v>
      </c>
      <c r="N3" s="8">
        <v>8.9795191537689112E-2</v>
      </c>
      <c r="O3" s="8">
        <v>-1.3054865108546591E-2</v>
      </c>
      <c r="P3" s="8">
        <v>-0.39279463970310319</v>
      </c>
      <c r="Q3" s="8">
        <v>-0.55624604622415896</v>
      </c>
      <c r="R3" s="8">
        <v>-0.16619421532061221</v>
      </c>
      <c r="S3" s="8">
        <v>-0.30815139058940938</v>
      </c>
      <c r="T3" s="8">
        <v>-0.29126169452051298</v>
      </c>
      <c r="U3" s="8">
        <v>-0.18724871546735819</v>
      </c>
      <c r="V3" s="23" t="b">
        <v>1</v>
      </c>
      <c r="W3" s="23" t="b">
        <v>1</v>
      </c>
      <c r="X3" s="23" t="b">
        <v>1</v>
      </c>
      <c r="Y3" s="23" t="b">
        <v>1</v>
      </c>
      <c r="Z3" s="23" t="b">
        <v>1</v>
      </c>
      <c r="AA3" s="23" t="b">
        <v>0</v>
      </c>
      <c r="AB3" s="10">
        <v>-0.3722353067637153</v>
      </c>
      <c r="AC3" s="10">
        <v>-0.55624604622415896</v>
      </c>
      <c r="AD3" s="10">
        <v>-0.16619421532061221</v>
      </c>
      <c r="AE3" s="10">
        <v>-0.30815139058940938</v>
      </c>
      <c r="AF3" s="10">
        <v>-0.29126169452051298</v>
      </c>
      <c r="AG3" s="10">
        <v>-0.18724871546735819</v>
      </c>
      <c r="AH3" s="11">
        <v>1632</v>
      </c>
      <c r="AI3" s="11">
        <v>1349</v>
      </c>
      <c r="AJ3" s="11">
        <v>123</v>
      </c>
      <c r="AK3" s="11">
        <v>120</v>
      </c>
      <c r="AL3" s="11">
        <v>385</v>
      </c>
      <c r="AM3" s="11">
        <v>93</v>
      </c>
      <c r="AN3" s="12" t="b">
        <v>1</v>
      </c>
      <c r="AO3" s="12" t="b">
        <v>1</v>
      </c>
      <c r="AP3" s="12" t="b">
        <v>1</v>
      </c>
      <c r="AQ3" s="12" t="b">
        <v>1</v>
      </c>
      <c r="AR3" s="12" t="b">
        <v>1</v>
      </c>
      <c r="AS3" s="12" t="b">
        <v>1</v>
      </c>
      <c r="AT3" s="10">
        <v>0.15319058593151169</v>
      </c>
      <c r="AU3" s="10">
        <v>0.17480304366620439</v>
      </c>
      <c r="AV3" s="10">
        <v>3.5057383311134303E-2</v>
      </c>
      <c r="AW3" s="10">
        <v>6.4931002479900621E-2</v>
      </c>
      <c r="AX3" s="10">
        <v>0.1194104395028351</v>
      </c>
      <c r="AY3" s="10">
        <v>5.5437569537437663E-2</v>
      </c>
      <c r="AZ3" s="12" t="b">
        <v>0</v>
      </c>
      <c r="BA3" s="12" t="b">
        <v>0</v>
      </c>
      <c r="BB3" s="12" t="b">
        <v>0</v>
      </c>
      <c r="BC3" s="12" t="b">
        <v>0</v>
      </c>
      <c r="BD3" s="12" t="b">
        <v>0</v>
      </c>
      <c r="BE3" s="12" t="b">
        <v>0</v>
      </c>
      <c r="BF3" s="24">
        <v>-0.36538744509068971</v>
      </c>
      <c r="BG3" s="24">
        <v>-0.55624604622415885</v>
      </c>
      <c r="BH3" s="24">
        <v>-0.16619421532061221</v>
      </c>
      <c r="BI3" s="24">
        <v>-0.30815139058940938</v>
      </c>
      <c r="BJ3" s="24">
        <v>-0.29126169452051309</v>
      </c>
      <c r="BK3" s="24">
        <v>-0.18724871546735819</v>
      </c>
      <c r="BL3" s="24">
        <v>-0.39279463970310319</v>
      </c>
      <c r="BM3" s="24">
        <v>-0.55624604622415896</v>
      </c>
      <c r="BN3" s="24">
        <v>-0.16619421532061221</v>
      </c>
      <c r="BO3" s="24">
        <v>-0.30815139058940938</v>
      </c>
      <c r="BP3" s="24">
        <v>-0.29126169452051298</v>
      </c>
      <c r="BQ3" s="24">
        <v>-0.18724871546735819</v>
      </c>
      <c r="BR3" s="25">
        <v>583</v>
      </c>
      <c r="BS3" s="25">
        <v>355</v>
      </c>
      <c r="BT3" s="25">
        <v>64</v>
      </c>
      <c r="BU3" s="25">
        <v>23</v>
      </c>
      <c r="BV3" s="25">
        <v>195</v>
      </c>
      <c r="BW3" s="25">
        <v>34</v>
      </c>
      <c r="BX3" s="26">
        <v>0.79313051415177349</v>
      </c>
      <c r="BY3" s="26">
        <v>1.304759565934982</v>
      </c>
      <c r="BZ3" s="26">
        <v>0.23217913754176739</v>
      </c>
      <c r="CA3" s="26">
        <v>0.45938186337822612</v>
      </c>
      <c r="CB3" s="26">
        <v>0.53765527150448511</v>
      </c>
      <c r="CC3" s="26">
        <v>0.21432614586266549</v>
      </c>
      <c r="CD3" s="26">
        <v>-0.1397552035740055</v>
      </c>
      <c r="CE3" s="26">
        <v>-0.16397580066047879</v>
      </c>
      <c r="CF3" s="26">
        <v>-2.6143944269542359E-2</v>
      </c>
      <c r="CG3" s="26">
        <v>-7.6495689931697863E-2</v>
      </c>
      <c r="CH3" s="26">
        <v>-8.7518255220149777E-2</v>
      </c>
      <c r="CI3" s="26">
        <v>-6.6396635161976247E-2</v>
      </c>
      <c r="CJ3" s="27">
        <v>1049</v>
      </c>
      <c r="CK3" s="27">
        <v>994</v>
      </c>
      <c r="CL3" s="27">
        <v>59</v>
      </c>
      <c r="CM3" s="27">
        <v>97</v>
      </c>
      <c r="CN3" s="27">
        <v>190</v>
      </c>
      <c r="CO3" s="27">
        <v>59</v>
      </c>
      <c r="CP3" s="26">
        <v>0.59295355532779137</v>
      </c>
      <c r="CQ3" s="26">
        <v>1.2535010482523889</v>
      </c>
      <c r="CR3" s="26">
        <v>0.1993200555504859</v>
      </c>
      <c r="CS3" s="26">
        <v>0.44540291965309309</v>
      </c>
      <c r="CT3" s="26">
        <v>0.410958025365179</v>
      </c>
      <c r="CU3" s="26">
        <v>0.23038870443007939</v>
      </c>
    </row>
    <row r="4" spans="1:99" x14ac:dyDescent="0.3">
      <c r="A4" s="7" t="s">
        <v>14</v>
      </c>
      <c r="B4" s="7" t="s">
        <v>15</v>
      </c>
      <c r="C4" s="7" t="s">
        <v>2</v>
      </c>
      <c r="D4" s="7" t="s">
        <v>3</v>
      </c>
      <c r="E4" s="7" t="s">
        <v>4</v>
      </c>
      <c r="F4" s="7"/>
      <c r="G4" s="7"/>
      <c r="H4" s="7" t="s">
        <v>15</v>
      </c>
      <c r="I4" s="7"/>
      <c r="J4" s="8">
        <v>-0.14503869491033849</v>
      </c>
      <c r="K4" s="8">
        <v>0.25620666858335878</v>
      </c>
      <c r="L4" s="8">
        <v>-4.825376533324266E-3</v>
      </c>
      <c r="M4" s="8">
        <v>3.6550927707210017E-2</v>
      </c>
      <c r="N4" s="8">
        <v>9.0029866829386407E-2</v>
      </c>
      <c r="O4" s="8">
        <v>-2.332536918041006E-2</v>
      </c>
      <c r="P4" s="8">
        <v>-0.54058775414804017</v>
      </c>
      <c r="Q4" s="8">
        <v>-0.44561133263844482</v>
      </c>
      <c r="R4" s="8">
        <v>-0.1989196555792887</v>
      </c>
      <c r="S4" s="8">
        <v>-0.31581424318749479</v>
      </c>
      <c r="T4" s="8">
        <v>-0.28679670862752382</v>
      </c>
      <c r="U4" s="8">
        <v>-0.19196735276335161</v>
      </c>
      <c r="V4" s="23" t="b">
        <v>0</v>
      </c>
      <c r="W4" s="23" t="b">
        <v>1</v>
      </c>
      <c r="X4" s="23" t="b">
        <v>0</v>
      </c>
      <c r="Y4" s="23" t="b">
        <v>1</v>
      </c>
      <c r="Z4" s="23" t="b">
        <v>1</v>
      </c>
      <c r="AA4" s="23" t="b">
        <v>0</v>
      </c>
      <c r="AB4" s="10">
        <v>-0.53519537565623487</v>
      </c>
      <c r="AC4" s="10">
        <v>-0.43750576895283388</v>
      </c>
      <c r="AD4" s="10">
        <v>-0.19724040399012241</v>
      </c>
      <c r="AE4" s="10">
        <v>-0.31581424318749479</v>
      </c>
      <c r="AF4" s="10">
        <v>-0.28679670862752382</v>
      </c>
      <c r="AG4" s="10">
        <v>-0.19196735276335161</v>
      </c>
      <c r="AH4" s="28">
        <v>1896</v>
      </c>
      <c r="AI4" s="11">
        <v>830</v>
      </c>
      <c r="AJ4" s="11">
        <v>153</v>
      </c>
      <c r="AK4" s="11">
        <v>115</v>
      </c>
      <c r="AL4" s="11">
        <v>385</v>
      </c>
      <c r="AM4" s="11">
        <v>102</v>
      </c>
      <c r="AN4" s="12" t="b">
        <v>0</v>
      </c>
      <c r="AO4" s="12" t="b">
        <v>1</v>
      </c>
      <c r="AP4" s="12" t="b">
        <v>1</v>
      </c>
      <c r="AQ4" s="12" t="b">
        <v>1</v>
      </c>
      <c r="AR4" s="12" t="b">
        <v>1</v>
      </c>
      <c r="AS4" s="12" t="b">
        <v>1</v>
      </c>
      <c r="AT4" s="10">
        <v>0.33187861201477092</v>
      </c>
      <c r="AU4" s="10">
        <v>0.11487771085011619</v>
      </c>
      <c r="AV4" s="10">
        <v>5.2305532906038732E-2</v>
      </c>
      <c r="AW4" s="10">
        <v>6.3898555384107464E-2</v>
      </c>
      <c r="AX4" s="10">
        <v>0.12939221927005951</v>
      </c>
      <c r="AY4" s="10">
        <v>6.1052554830796309E-2</v>
      </c>
      <c r="AZ4" s="12" t="b">
        <v>0</v>
      </c>
      <c r="BA4" s="12" t="b">
        <v>0</v>
      </c>
      <c r="BB4" s="12" t="b">
        <v>0</v>
      </c>
      <c r="BC4" s="12" t="b">
        <v>0</v>
      </c>
      <c r="BD4" s="12" t="b">
        <v>0</v>
      </c>
      <c r="BE4" s="12" t="b">
        <v>0</v>
      </c>
      <c r="BF4" s="24">
        <v>-0.52062923584869458</v>
      </c>
      <c r="BG4" s="24">
        <v>-0.43750576895283377</v>
      </c>
      <c r="BH4" s="24">
        <v>-0.19724040399012241</v>
      </c>
      <c r="BI4" s="24">
        <v>-0.31581424318749501</v>
      </c>
      <c r="BJ4" s="24">
        <v>-0.28298634958514918</v>
      </c>
      <c r="BK4" s="24">
        <v>-0.19188636649629839</v>
      </c>
      <c r="BL4" s="24">
        <v>-0.54058775414804017</v>
      </c>
      <c r="BM4" s="24">
        <v>-0.44561133263844482</v>
      </c>
      <c r="BN4" s="24">
        <v>-0.1989196555792887</v>
      </c>
      <c r="BO4" s="24">
        <v>-0.31581424318749479</v>
      </c>
      <c r="BP4" s="24">
        <v>-0.28298634958514918</v>
      </c>
      <c r="BQ4" s="24">
        <v>-0.19196735276335161</v>
      </c>
      <c r="BR4" s="25">
        <v>583</v>
      </c>
      <c r="BS4" s="25">
        <v>355</v>
      </c>
      <c r="BT4" s="25">
        <v>64</v>
      </c>
      <c r="BU4" s="25">
        <v>23</v>
      </c>
      <c r="BV4" s="25">
        <v>253</v>
      </c>
      <c r="BW4" s="25">
        <v>32</v>
      </c>
      <c r="BX4" s="26">
        <v>0.78350739975416461</v>
      </c>
      <c r="BY4" s="26">
        <v>1.233279204028003</v>
      </c>
      <c r="BZ4" s="26">
        <v>0.23969196807263149</v>
      </c>
      <c r="CA4" s="26">
        <v>0.51501389408675946</v>
      </c>
      <c r="CB4" s="26">
        <v>0.52023586468502425</v>
      </c>
      <c r="CC4" s="26">
        <v>0.20858576112008681</v>
      </c>
      <c r="CD4" s="26">
        <v>-0.1420856921406376</v>
      </c>
      <c r="CE4" s="26">
        <v>-0.1227419066313019</v>
      </c>
      <c r="CF4" s="26">
        <v>-3.2838234254136338E-2</v>
      </c>
      <c r="CG4" s="26">
        <v>-6.3206526294135146E-2</v>
      </c>
      <c r="CH4" s="26">
        <v>-0.10223173163205181</v>
      </c>
      <c r="CI4" s="26">
        <v>-4.3921410220558073E-2</v>
      </c>
      <c r="CJ4" s="28">
        <v>1313</v>
      </c>
      <c r="CK4" s="27">
        <v>475</v>
      </c>
      <c r="CL4" s="27">
        <v>89</v>
      </c>
      <c r="CM4" s="27">
        <v>92</v>
      </c>
      <c r="CN4" s="27">
        <v>132</v>
      </c>
      <c r="CO4" s="27">
        <v>70</v>
      </c>
      <c r="CP4" s="26">
        <v>1.1514415899193149</v>
      </c>
      <c r="CQ4" s="26">
        <v>0.77779601070459381</v>
      </c>
      <c r="CR4" s="26">
        <v>0.24570295387374669</v>
      </c>
      <c r="CS4" s="26">
        <v>0.46159137345801371</v>
      </c>
      <c r="CT4" s="26">
        <v>0.40212476876770609</v>
      </c>
      <c r="CU4" s="26">
        <v>0.23757375821367049</v>
      </c>
    </row>
    <row r="5" spans="1:99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/>
      <c r="G5" s="7"/>
      <c r="H5" s="7" t="s">
        <v>1</v>
      </c>
      <c r="I5" s="7"/>
      <c r="J5" s="8">
        <v>0.30509139345395048</v>
      </c>
      <c r="K5" s="8">
        <v>0.25539388431229632</v>
      </c>
      <c r="L5" s="8">
        <v>1.8963770983283501E-2</v>
      </c>
      <c r="M5" s="8">
        <v>-9.5441016846165017E-4</v>
      </c>
      <c r="N5" s="8">
        <v>5.5509599337949078E-2</v>
      </c>
      <c r="O5" s="8">
        <v>-4.9411208997117262E-2</v>
      </c>
      <c r="P5" s="8">
        <v>-0.34324611057330712</v>
      </c>
      <c r="Q5" s="8">
        <v>-0.45579748092484568</v>
      </c>
      <c r="R5" s="8">
        <v>-0.14527988896268551</v>
      </c>
      <c r="S5" s="8">
        <v>-0.29595062063861399</v>
      </c>
      <c r="T5" s="8">
        <v>-0.23775987668092449</v>
      </c>
      <c r="U5" s="8">
        <v>-0.15136322790653761</v>
      </c>
      <c r="V5" s="23" t="b">
        <v>1</v>
      </c>
      <c r="W5" s="23" t="b">
        <v>1</v>
      </c>
      <c r="X5" s="23" t="b">
        <v>1</v>
      </c>
      <c r="Y5" s="23" t="b">
        <v>0</v>
      </c>
      <c r="Z5" s="23" t="b">
        <v>1</v>
      </c>
      <c r="AA5" s="23" t="b">
        <v>0</v>
      </c>
      <c r="AB5" s="10">
        <v>-0.30302163915421609</v>
      </c>
      <c r="AC5" s="10">
        <v>-0.45579748092484568</v>
      </c>
      <c r="AD5" s="10">
        <v>-0.14257679008677221</v>
      </c>
      <c r="AE5" s="10">
        <v>-0.29595062063861399</v>
      </c>
      <c r="AF5" s="10">
        <v>-0.23775987668092449</v>
      </c>
      <c r="AG5" s="10">
        <v>-0.15136322790653761</v>
      </c>
      <c r="AH5" s="11">
        <v>963</v>
      </c>
      <c r="AI5" s="11">
        <v>1067</v>
      </c>
      <c r="AJ5" s="11">
        <v>123</v>
      </c>
      <c r="AK5" s="11">
        <v>126</v>
      </c>
      <c r="AL5" s="11">
        <v>393</v>
      </c>
      <c r="AM5" s="11">
        <v>136</v>
      </c>
      <c r="AN5" s="12" t="b">
        <v>1</v>
      </c>
      <c r="AO5" s="12" t="b">
        <v>1</v>
      </c>
      <c r="AP5" s="12" t="b">
        <v>1</v>
      </c>
      <c r="AQ5" s="12" t="b">
        <v>1</v>
      </c>
      <c r="AR5" s="12" t="b">
        <v>1</v>
      </c>
      <c r="AS5" s="12" t="b">
        <v>1</v>
      </c>
      <c r="AT5" s="10">
        <v>0.10559454254441671</v>
      </c>
      <c r="AU5" s="10">
        <v>0.1228166173480004</v>
      </c>
      <c r="AV5" s="10">
        <v>2.899795472484739E-2</v>
      </c>
      <c r="AW5" s="10">
        <v>6.1267114277421798E-2</v>
      </c>
      <c r="AX5" s="10">
        <v>9.3386102964682291E-2</v>
      </c>
      <c r="AY5" s="10">
        <v>4.9276861996096377E-2</v>
      </c>
      <c r="AZ5" s="12" t="b">
        <v>0</v>
      </c>
      <c r="BA5" s="12" t="b">
        <v>0</v>
      </c>
      <c r="BB5" s="12" t="b">
        <v>0</v>
      </c>
      <c r="BC5" s="12" t="b">
        <v>0</v>
      </c>
      <c r="BD5" s="12" t="b">
        <v>0</v>
      </c>
      <c r="BE5" s="12" t="b">
        <v>0</v>
      </c>
      <c r="BF5" s="24">
        <v>-0.26274777730581028</v>
      </c>
      <c r="BG5" s="24">
        <v>-0.45579748092484562</v>
      </c>
      <c r="BH5" s="24">
        <v>-0.14257679008677221</v>
      </c>
      <c r="BI5" s="24">
        <v>-0.29595062063861399</v>
      </c>
      <c r="BJ5" s="24">
        <v>-0.23775987668092441</v>
      </c>
      <c r="BK5" s="24">
        <v>-0.15136322790653761</v>
      </c>
      <c r="BL5" s="24">
        <v>-0.34324611057330712</v>
      </c>
      <c r="BM5" s="24">
        <v>-0.45579748092484568</v>
      </c>
      <c r="BN5" s="24">
        <v>-0.14527988896268551</v>
      </c>
      <c r="BO5" s="24">
        <v>-0.29595062063861399</v>
      </c>
      <c r="BP5" s="24">
        <v>-0.23775987668092449</v>
      </c>
      <c r="BQ5" s="24">
        <v>-0.15136322790653761</v>
      </c>
      <c r="BR5" s="25">
        <v>583</v>
      </c>
      <c r="BS5" s="25">
        <v>355</v>
      </c>
      <c r="BT5" s="25">
        <v>64</v>
      </c>
      <c r="BU5" s="25">
        <v>23</v>
      </c>
      <c r="BV5" s="25">
        <v>195</v>
      </c>
      <c r="BW5" s="25">
        <v>34</v>
      </c>
      <c r="BX5" s="26">
        <v>0.77021018490072302</v>
      </c>
      <c r="BY5" s="26">
        <v>1.3068505571157161</v>
      </c>
      <c r="BZ5" s="26">
        <v>0.18840236560240031</v>
      </c>
      <c r="CA5" s="26">
        <v>0.41899931896500081</v>
      </c>
      <c r="CB5" s="26">
        <v>0.38474683639306417</v>
      </c>
      <c r="CC5" s="26">
        <v>0.1201362258412626</v>
      </c>
      <c r="CD5" s="26">
        <v>-0.1175306843923517</v>
      </c>
      <c r="CE5" s="26">
        <v>-0.1243810385007439</v>
      </c>
      <c r="CF5" s="26">
        <v>-2.330447460112961E-2</v>
      </c>
      <c r="CG5" s="26">
        <v>-7.5386157061169246E-2</v>
      </c>
      <c r="CH5" s="26">
        <v>-7.7697898745054172E-2</v>
      </c>
      <c r="CI5" s="26">
        <v>-4.9108528856244282E-2</v>
      </c>
      <c r="CJ5" s="27">
        <v>380</v>
      </c>
      <c r="CK5" s="27">
        <v>712</v>
      </c>
      <c r="CL5" s="27">
        <v>59</v>
      </c>
      <c r="CM5" s="27">
        <v>103</v>
      </c>
      <c r="CN5" s="27">
        <v>198</v>
      </c>
      <c r="CO5" s="27">
        <v>102</v>
      </c>
      <c r="CP5" s="26">
        <v>0.43476477345221892</v>
      </c>
      <c r="CQ5" s="26">
        <v>0.83755121475632155</v>
      </c>
      <c r="CR5" s="26">
        <v>0.16628520016527329</v>
      </c>
      <c r="CS5" s="26">
        <v>0.42035492014361048</v>
      </c>
      <c r="CT5" s="26">
        <v>0.31192254173872391</v>
      </c>
      <c r="CU5" s="26">
        <v>0.17836043980647531</v>
      </c>
    </row>
    <row r="6" spans="1:99" x14ac:dyDescent="0.3">
      <c r="A6" s="7" t="s">
        <v>21</v>
      </c>
      <c r="B6" s="7" t="s">
        <v>22</v>
      </c>
      <c r="C6" s="7" t="s">
        <v>2</v>
      </c>
      <c r="D6" s="7" t="s">
        <v>3</v>
      </c>
      <c r="E6" s="7" t="s">
        <v>4</v>
      </c>
      <c r="F6" s="7"/>
      <c r="G6" s="7"/>
      <c r="H6" s="7" t="s">
        <v>22</v>
      </c>
      <c r="I6" s="7"/>
      <c r="J6" s="8">
        <v>0.17274227042284609</v>
      </c>
      <c r="K6" s="8">
        <v>-3.0693425448641839E-2</v>
      </c>
      <c r="L6" s="8">
        <v>3.1134186267283152E-2</v>
      </c>
      <c r="M6" s="8">
        <v>4.0643985960937554E-3</v>
      </c>
      <c r="N6" s="8">
        <v>0.12655259256968349</v>
      </c>
      <c r="O6" s="8">
        <v>-1.5003242569680331E-2</v>
      </c>
      <c r="P6" s="8">
        <v>-0.38570206604109808</v>
      </c>
      <c r="Q6" s="8">
        <v>-0.61577533451404654</v>
      </c>
      <c r="R6" s="8">
        <v>-0.1804269089298145</v>
      </c>
      <c r="S6" s="8">
        <v>-0.32252496838797279</v>
      </c>
      <c r="T6" s="8">
        <v>-0.32876150491884021</v>
      </c>
      <c r="U6" s="8">
        <v>-0.18912266708825221</v>
      </c>
      <c r="V6" s="23" t="b">
        <v>1</v>
      </c>
      <c r="W6" s="23" t="b">
        <v>0</v>
      </c>
      <c r="X6" s="23" t="b">
        <v>1</v>
      </c>
      <c r="Y6" s="23" t="b">
        <v>1</v>
      </c>
      <c r="Z6" s="23" t="b">
        <v>1</v>
      </c>
      <c r="AA6" s="23" t="b">
        <v>0</v>
      </c>
      <c r="AB6" s="10">
        <v>-0.36872771223256379</v>
      </c>
      <c r="AC6" s="10">
        <v>-0.61577533451404654</v>
      </c>
      <c r="AD6" s="10">
        <v>-0.1804269089298145</v>
      </c>
      <c r="AE6" s="10">
        <v>-0.32252496838797279</v>
      </c>
      <c r="AF6" s="10">
        <v>-0.32876150491884021</v>
      </c>
      <c r="AG6" s="10">
        <v>-0.18912266708825221</v>
      </c>
      <c r="AH6" s="11">
        <v>1616</v>
      </c>
      <c r="AI6" s="11">
        <v>1398</v>
      </c>
      <c r="AJ6" s="11">
        <v>131</v>
      </c>
      <c r="AK6" s="11">
        <v>122</v>
      </c>
      <c r="AL6" s="11">
        <v>364</v>
      </c>
      <c r="AM6" s="11">
        <v>92</v>
      </c>
      <c r="AN6" s="12" t="b">
        <v>1</v>
      </c>
      <c r="AO6" s="12" t="b">
        <v>1</v>
      </c>
      <c r="AP6" s="12" t="b">
        <v>1</v>
      </c>
      <c r="AQ6" s="12" t="b">
        <v>1</v>
      </c>
      <c r="AR6" s="12" t="b">
        <v>1</v>
      </c>
      <c r="AS6" s="12" t="b">
        <v>1</v>
      </c>
      <c r="AT6" s="10">
        <v>0.13667365447478241</v>
      </c>
      <c r="AU6" s="10">
        <v>0.2002379359033743</v>
      </c>
      <c r="AV6" s="10">
        <v>3.8257412844137612E-2</v>
      </c>
      <c r="AW6" s="10">
        <v>6.776900748902423E-2</v>
      </c>
      <c r="AX6" s="10">
        <v>0.138770824610914</v>
      </c>
      <c r="AY6" s="10">
        <v>5.9610650639034167E-2</v>
      </c>
      <c r="AZ6" s="12" t="b">
        <v>0</v>
      </c>
      <c r="BA6" s="12" t="b">
        <v>0</v>
      </c>
      <c r="BB6" s="12" t="b">
        <v>0</v>
      </c>
      <c r="BC6" s="12" t="b">
        <v>0</v>
      </c>
      <c r="BD6" s="12" t="b">
        <v>0</v>
      </c>
      <c r="BE6" s="12" t="b">
        <v>0</v>
      </c>
      <c r="BF6" s="24">
        <v>-0.36872771223256401</v>
      </c>
      <c r="BG6" s="24">
        <v>-0.61318813550732654</v>
      </c>
      <c r="BH6" s="24">
        <v>-0.1804269089298145</v>
      </c>
      <c r="BI6" s="24">
        <v>-0.32252496838797279</v>
      </c>
      <c r="BJ6" s="24">
        <v>-0.32834228300728879</v>
      </c>
      <c r="BK6" s="24">
        <v>-0.18912266708825221</v>
      </c>
      <c r="BL6" s="24">
        <v>-0.38570206604109808</v>
      </c>
      <c r="BM6" s="24">
        <v>-0.61577533451404654</v>
      </c>
      <c r="BN6" s="24">
        <v>-0.1804269089298145</v>
      </c>
      <c r="BO6" s="24">
        <v>-0.32252496838797279</v>
      </c>
      <c r="BP6" s="24">
        <v>-0.32834228300728879</v>
      </c>
      <c r="BQ6" s="24">
        <v>-0.18912266708825221</v>
      </c>
      <c r="BR6" s="25">
        <v>638</v>
      </c>
      <c r="BS6" s="25">
        <v>353</v>
      </c>
      <c r="BT6" s="25">
        <v>64</v>
      </c>
      <c r="BU6" s="25">
        <v>23</v>
      </c>
      <c r="BV6" s="25">
        <v>197</v>
      </c>
      <c r="BW6" s="25">
        <v>34</v>
      </c>
      <c r="BX6" s="26">
        <v>0.85774394527974307</v>
      </c>
      <c r="BY6" s="26">
        <v>1.50588635853417</v>
      </c>
      <c r="BZ6" s="26">
        <v>0.25813572639487781</v>
      </c>
      <c r="CA6" s="26">
        <v>0.48206849218776249</v>
      </c>
      <c r="CB6" s="26">
        <v>0.67727186641095205</v>
      </c>
      <c r="CC6" s="26">
        <v>0.21472967297449699</v>
      </c>
      <c r="CD6" s="26">
        <v>-0.13704437331495289</v>
      </c>
      <c r="CE6" s="26">
        <v>-0.19916218964713989</v>
      </c>
      <c r="CF6" s="26">
        <v>-2.8044945354088299E-2</v>
      </c>
      <c r="CG6" s="26">
        <v>-9.0075788098964771E-2</v>
      </c>
      <c r="CH6" s="26">
        <v>-0.1055180017892465</v>
      </c>
      <c r="CI6" s="26">
        <v>-8.996647052893747E-2</v>
      </c>
      <c r="CJ6" s="27">
        <v>978</v>
      </c>
      <c r="CK6" s="27">
        <v>1045</v>
      </c>
      <c r="CL6" s="27">
        <v>67</v>
      </c>
      <c r="CM6" s="27">
        <v>99</v>
      </c>
      <c r="CN6" s="27">
        <v>167</v>
      </c>
      <c r="CO6" s="27">
        <v>58</v>
      </c>
      <c r="CP6" s="26">
        <v>0.5841024853737995</v>
      </c>
      <c r="CQ6" s="26">
        <v>1.6026439472209211</v>
      </c>
      <c r="CR6" s="26">
        <v>0.2201474290648269</v>
      </c>
      <c r="CS6" s="26">
        <v>0.47606915877111589</v>
      </c>
      <c r="CT6" s="26">
        <v>0.4897834485477317</v>
      </c>
      <c r="CU6" s="26">
        <v>0.23323215412760279</v>
      </c>
    </row>
    <row r="7" spans="1:99" x14ac:dyDescent="0.3">
      <c r="A7" s="7" t="s">
        <v>19</v>
      </c>
      <c r="B7" s="7" t="s">
        <v>20</v>
      </c>
      <c r="C7" s="7" t="s">
        <v>2</v>
      </c>
      <c r="D7" s="7" t="s">
        <v>3</v>
      </c>
      <c r="E7" s="7" t="s">
        <v>4</v>
      </c>
      <c r="F7" s="7"/>
      <c r="G7" s="7"/>
      <c r="H7" s="7" t="s">
        <v>20</v>
      </c>
      <c r="I7" s="7"/>
      <c r="J7" s="8">
        <v>0.2064468322738722</v>
      </c>
      <c r="K7" s="8">
        <v>-5.8477524400673109E-2</v>
      </c>
      <c r="L7" s="8">
        <v>5.4642790415120317E-2</v>
      </c>
      <c r="M7" s="8">
        <v>-3.1219184500367762E-2</v>
      </c>
      <c r="N7" s="8">
        <v>0.13853546441099729</v>
      </c>
      <c r="O7" s="8">
        <v>9.4740103580299717E-3</v>
      </c>
      <c r="P7" s="8">
        <v>-0.39578524290076539</v>
      </c>
      <c r="Q7" s="8">
        <v>-0.61000016642689925</v>
      </c>
      <c r="R7" s="8">
        <v>-0.17583892922702871</v>
      </c>
      <c r="S7" s="8">
        <v>-0.34122501472067601</v>
      </c>
      <c r="T7" s="8">
        <v>-0.33812615304831389</v>
      </c>
      <c r="U7" s="8">
        <v>-0.1965679708822623</v>
      </c>
      <c r="V7" s="23" t="b">
        <v>1</v>
      </c>
      <c r="W7" s="23" t="b">
        <v>0</v>
      </c>
      <c r="X7" s="23" t="b">
        <v>1</v>
      </c>
      <c r="Y7" s="23" t="b">
        <v>0</v>
      </c>
      <c r="Z7" s="23" t="b">
        <v>1</v>
      </c>
      <c r="AA7" s="23" t="b">
        <v>1</v>
      </c>
      <c r="AB7" s="10">
        <v>-0.37546089769471752</v>
      </c>
      <c r="AC7" s="10">
        <v>-0.61000016642689925</v>
      </c>
      <c r="AD7" s="10">
        <v>-0.1756429698727684</v>
      </c>
      <c r="AE7" s="10">
        <v>-0.34122501472067601</v>
      </c>
      <c r="AF7" s="10">
        <v>-0.33812615304831389</v>
      </c>
      <c r="AG7" s="10">
        <v>-0.1965679708822623</v>
      </c>
      <c r="AH7" s="11">
        <v>1607</v>
      </c>
      <c r="AI7" s="11">
        <v>1455</v>
      </c>
      <c r="AJ7" s="11">
        <v>117</v>
      </c>
      <c r="AK7" s="11">
        <v>137</v>
      </c>
      <c r="AL7" s="11">
        <v>364</v>
      </c>
      <c r="AM7" s="11">
        <v>86</v>
      </c>
      <c r="AN7" s="12" t="b">
        <v>1</v>
      </c>
      <c r="AO7" s="12" t="b">
        <v>1</v>
      </c>
      <c r="AP7" s="12" t="b">
        <v>1</v>
      </c>
      <c r="AQ7" s="12" t="b">
        <v>1</v>
      </c>
      <c r="AR7" s="12" t="b">
        <v>1</v>
      </c>
      <c r="AS7" s="12" t="b">
        <v>1</v>
      </c>
      <c r="AT7" s="10">
        <v>0.13936835628426719</v>
      </c>
      <c r="AU7" s="10">
        <v>0.20692126389906521</v>
      </c>
      <c r="AV7" s="10">
        <v>3.5670083126567491E-2</v>
      </c>
      <c r="AW7" s="10">
        <v>7.7907667208300876E-2</v>
      </c>
      <c r="AX7" s="10">
        <v>0.14426918212650611</v>
      </c>
      <c r="AY7" s="10">
        <v>5.8966373392003613E-2</v>
      </c>
      <c r="AZ7" s="12" t="b">
        <v>0</v>
      </c>
      <c r="BA7" s="12" t="b">
        <v>0</v>
      </c>
      <c r="BB7" s="12" t="b">
        <v>0</v>
      </c>
      <c r="BC7" s="12" t="b">
        <v>0</v>
      </c>
      <c r="BD7" s="12" t="b">
        <v>0</v>
      </c>
      <c r="BE7" s="12" t="b">
        <v>0</v>
      </c>
      <c r="BF7" s="24">
        <v>-0.37546089769471758</v>
      </c>
      <c r="BG7" s="24">
        <v>-0.60556100317152495</v>
      </c>
      <c r="BH7" s="24">
        <v>-0.1756429698727684</v>
      </c>
      <c r="BI7" s="24">
        <v>-0.34122501472067601</v>
      </c>
      <c r="BJ7" s="24">
        <v>-0.33720349268253852</v>
      </c>
      <c r="BK7" s="24">
        <v>-0.1965679708822623</v>
      </c>
      <c r="BL7" s="24">
        <v>-0.39578524290076539</v>
      </c>
      <c r="BM7" s="24">
        <v>-0.61000016642689925</v>
      </c>
      <c r="BN7" s="24">
        <v>-0.17583892922702871</v>
      </c>
      <c r="BO7" s="24">
        <v>-0.34122501472067601</v>
      </c>
      <c r="BP7" s="24">
        <v>-0.33720349268253852</v>
      </c>
      <c r="BQ7" s="24">
        <v>-0.1965679708822623</v>
      </c>
      <c r="BR7" s="25">
        <v>638</v>
      </c>
      <c r="BS7" s="25">
        <v>353</v>
      </c>
      <c r="BT7" s="25">
        <v>64</v>
      </c>
      <c r="BU7" s="25">
        <v>23</v>
      </c>
      <c r="BV7" s="25">
        <v>197</v>
      </c>
      <c r="BW7" s="25">
        <v>34</v>
      </c>
      <c r="BX7" s="26">
        <v>0.93173946646521766</v>
      </c>
      <c r="BY7" s="26">
        <v>1.3869913552405559</v>
      </c>
      <c r="BZ7" s="26">
        <v>0.27935196992539302</v>
      </c>
      <c r="CA7" s="26">
        <v>0.47057923744457941</v>
      </c>
      <c r="CB7" s="26">
        <v>0.71777529278027674</v>
      </c>
      <c r="CC7" s="26">
        <v>0.25645228690540312</v>
      </c>
      <c r="CD7" s="26">
        <v>-0.13976903088490289</v>
      </c>
      <c r="CE7" s="26">
        <v>-0.19352839276212769</v>
      </c>
      <c r="CF7" s="26">
        <v>-2.9986886729698289E-2</v>
      </c>
      <c r="CG7" s="26">
        <v>-9.5900606555384127E-2</v>
      </c>
      <c r="CH7" s="26">
        <v>-0.1166039321461161</v>
      </c>
      <c r="CI7" s="26">
        <v>-8.4067394619421476E-2</v>
      </c>
      <c r="CJ7" s="27">
        <v>969</v>
      </c>
      <c r="CK7" s="27">
        <v>1102</v>
      </c>
      <c r="CL7" s="27">
        <v>53</v>
      </c>
      <c r="CM7" s="27">
        <v>114</v>
      </c>
      <c r="CN7" s="27">
        <v>167</v>
      </c>
      <c r="CO7" s="27">
        <v>52</v>
      </c>
      <c r="CP7" s="26">
        <v>0.60118076884029503</v>
      </c>
      <c r="CQ7" s="26">
        <v>1.5641036582969781</v>
      </c>
      <c r="CR7" s="26">
        <v>0.21306662459791181</v>
      </c>
      <c r="CS7" s="26">
        <v>0.51796899145463882</v>
      </c>
      <c r="CT7" s="26">
        <v>0.51086193329073426</v>
      </c>
      <c r="CU7" s="26">
        <v>0.2446603617459924</v>
      </c>
    </row>
    <row r="8" spans="1:99" x14ac:dyDescent="0.3">
      <c r="A8" s="7" t="s">
        <v>17</v>
      </c>
      <c r="B8" s="7" t="s">
        <v>18</v>
      </c>
      <c r="C8" s="7" t="s">
        <v>2</v>
      </c>
      <c r="D8" s="7" t="s">
        <v>3</v>
      </c>
      <c r="E8" s="7" t="s">
        <v>4</v>
      </c>
      <c r="F8" s="7"/>
      <c r="G8" s="7"/>
      <c r="H8" s="7" t="s">
        <v>18</v>
      </c>
      <c r="I8" s="7"/>
      <c r="J8" s="8">
        <v>0.23021392031557661</v>
      </c>
      <c r="K8" s="8">
        <v>-7.9234160913005947E-2</v>
      </c>
      <c r="L8" s="8">
        <v>5.4610601220716148E-2</v>
      </c>
      <c r="M8" s="8">
        <v>-2.61610496364173E-3</v>
      </c>
      <c r="N8" s="8">
        <v>0.17122067108873701</v>
      </c>
      <c r="O8" s="8">
        <v>-1.216599018987663E-2</v>
      </c>
      <c r="P8" s="8">
        <v>-0.42211748909779889</v>
      </c>
      <c r="Q8" s="8">
        <v>-0.61466199383198927</v>
      </c>
      <c r="R8" s="8">
        <v>-0.16153999375928799</v>
      </c>
      <c r="S8" s="8">
        <v>-0.32075803959184629</v>
      </c>
      <c r="T8" s="8">
        <v>-0.33803974009353871</v>
      </c>
      <c r="U8" s="8">
        <v>-0.17116346147573991</v>
      </c>
      <c r="V8" s="23" t="b">
        <v>1</v>
      </c>
      <c r="W8" s="23" t="b">
        <v>0</v>
      </c>
      <c r="X8" s="23" t="b">
        <v>1</v>
      </c>
      <c r="Y8" s="23" t="b">
        <v>0</v>
      </c>
      <c r="Z8" s="23" t="b">
        <v>1</v>
      </c>
      <c r="AA8" s="23" t="b">
        <v>0</v>
      </c>
      <c r="AB8" s="10">
        <v>-0.39762276382307782</v>
      </c>
      <c r="AC8" s="10">
        <v>-0.61466199383198927</v>
      </c>
      <c r="AD8" s="10">
        <v>-0.16153999375928799</v>
      </c>
      <c r="AE8" s="10">
        <v>-0.32075803959184629</v>
      </c>
      <c r="AF8" s="10">
        <v>-0.33803974009353871</v>
      </c>
      <c r="AG8" s="10">
        <v>-0.17116346147573991</v>
      </c>
      <c r="AH8" s="11">
        <v>1458</v>
      </c>
      <c r="AI8" s="11">
        <v>1455</v>
      </c>
      <c r="AJ8" s="11">
        <v>110</v>
      </c>
      <c r="AK8" s="11">
        <v>132</v>
      </c>
      <c r="AL8" s="11">
        <v>361</v>
      </c>
      <c r="AM8" s="11">
        <v>90</v>
      </c>
      <c r="AN8" s="12" t="b">
        <v>1</v>
      </c>
      <c r="AO8" s="12" t="b">
        <v>1</v>
      </c>
      <c r="AP8" s="12" t="b">
        <v>1</v>
      </c>
      <c r="AQ8" s="12" t="b">
        <v>1</v>
      </c>
      <c r="AR8" s="12" t="b">
        <v>1</v>
      </c>
      <c r="AS8" s="12" t="b">
        <v>1</v>
      </c>
      <c r="AT8" s="10">
        <v>0.15054092619397871</v>
      </c>
      <c r="AU8" s="10">
        <v>0.21668480581169591</v>
      </c>
      <c r="AV8" s="10">
        <v>3.052308008950504E-2</v>
      </c>
      <c r="AW8" s="10">
        <v>6.8530167310441106E-2</v>
      </c>
      <c r="AX8" s="10">
        <v>0.14024468773172849</v>
      </c>
      <c r="AY8" s="10">
        <v>5.2790648312833248E-2</v>
      </c>
      <c r="AZ8" s="12" t="b">
        <v>0</v>
      </c>
      <c r="BA8" s="12" t="b">
        <v>0</v>
      </c>
      <c r="BB8" s="12" t="b">
        <v>0</v>
      </c>
      <c r="BC8" s="12" t="b">
        <v>0</v>
      </c>
      <c r="BD8" s="12" t="b">
        <v>0</v>
      </c>
      <c r="BE8" s="12" t="b">
        <v>0</v>
      </c>
      <c r="BF8" s="24">
        <v>-0.39762276382307782</v>
      </c>
      <c r="BG8" s="24">
        <v>-0.61310819265126915</v>
      </c>
      <c r="BH8" s="24">
        <v>-0.16153999375928799</v>
      </c>
      <c r="BI8" s="24">
        <v>-0.32075803959184629</v>
      </c>
      <c r="BJ8" s="24">
        <v>-0.33406161792836769</v>
      </c>
      <c r="BK8" s="24">
        <v>-0.17116346147573991</v>
      </c>
      <c r="BL8" s="24">
        <v>-0.42211748909779889</v>
      </c>
      <c r="BM8" s="24">
        <v>-0.61466199383198927</v>
      </c>
      <c r="BN8" s="24">
        <v>-0.16153999375928799</v>
      </c>
      <c r="BO8" s="24">
        <v>-0.32075803959184629</v>
      </c>
      <c r="BP8" s="24">
        <v>-0.33406161792836753</v>
      </c>
      <c r="BQ8" s="24">
        <v>-0.17116346147573991</v>
      </c>
      <c r="BR8" s="25">
        <v>638</v>
      </c>
      <c r="BS8" s="25">
        <v>353</v>
      </c>
      <c r="BT8" s="25">
        <v>64</v>
      </c>
      <c r="BU8" s="25">
        <v>23</v>
      </c>
      <c r="BV8" s="25">
        <v>211</v>
      </c>
      <c r="BW8" s="25">
        <v>34</v>
      </c>
      <c r="BX8" s="26">
        <v>1.042264956961712</v>
      </c>
      <c r="BY8" s="26">
        <v>1.3799052386163539</v>
      </c>
      <c r="BZ8" s="26">
        <v>0.25779475868995688</v>
      </c>
      <c r="CA8" s="26">
        <v>0.46837791710782201</v>
      </c>
      <c r="CB8" s="26">
        <v>0.75875231495930429</v>
      </c>
      <c r="CC8" s="26">
        <v>0.19183212116704909</v>
      </c>
      <c r="CD8" s="26">
        <v>-0.13484182081181989</v>
      </c>
      <c r="CE8" s="26">
        <v>-0.2037181450170952</v>
      </c>
      <c r="CF8" s="26">
        <v>-2.3253517292433301E-2</v>
      </c>
      <c r="CG8" s="26">
        <v>-9.9451622902841708E-2</v>
      </c>
      <c r="CH8" s="26">
        <v>-0.1136737333480079</v>
      </c>
      <c r="CI8" s="26">
        <v>-7.691029042613784E-2</v>
      </c>
      <c r="CJ8" s="27">
        <v>820</v>
      </c>
      <c r="CK8" s="27">
        <v>1102</v>
      </c>
      <c r="CL8" s="27">
        <v>46</v>
      </c>
      <c r="CM8" s="27">
        <v>109</v>
      </c>
      <c r="CN8" s="27">
        <v>150</v>
      </c>
      <c r="CO8" s="27">
        <v>56</v>
      </c>
      <c r="CP8" s="26">
        <v>0.66008929279374917</v>
      </c>
      <c r="CQ8" s="26">
        <v>1.595124238962276</v>
      </c>
      <c r="CR8" s="26">
        <v>0.19266272995364761</v>
      </c>
      <c r="CS8" s="26">
        <v>0.47222942381107341</v>
      </c>
      <c r="CT8" s="26">
        <v>0.51066470386198937</v>
      </c>
      <c r="CU8" s="26">
        <v>0.2065105162719971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crises_vs_mcap</vt:lpstr>
      <vt:lpstr>crises_raw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2026-10-28T17:58:04Z</dcterms:modified>
</cp:coreProperties>
</file>